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ctrlProps/ctrlProps122.xml" ContentType="application/vnd.ms-excel.controlproperties+xml"/>
  <Override PartName="/xl/ctrlProps/ctrlProps61.xml" ContentType="application/vnd.ms-excel.controlproperties+xml"/>
  <Override PartName="/xl/ctrlProps/ctrlProps121.xml" ContentType="application/vnd.ms-excel.controlproperties+xml"/>
  <Override PartName="/xl/ctrlProps/ctrlProps60.xml" ContentType="application/vnd.ms-excel.controlproperties+xml"/>
  <Override PartName="/xl/ctrlProps/ctrlProps120.xml" ContentType="application/vnd.ms-excel.controlproperties+xml"/>
  <Override PartName="/xl/ctrlProps/ctrlProps112.xml" ContentType="application/vnd.ms-excel.controlproperties+xml"/>
  <Override PartName="/xl/ctrlProps/ctrlProps51.xml" ContentType="application/vnd.ms-excel.controlproperties+xml"/>
  <Override PartName="/xl/ctrlProps/ctrlProps111.xml" ContentType="application/vnd.ms-excel.controlproperties+xml"/>
  <Override PartName="/xl/ctrlProps/ctrlProps50.xml" ContentType="application/vnd.ms-excel.controlproperties+xml"/>
  <Override PartName="/xl/ctrlProps/ctrlProps110.xml" ContentType="application/vnd.ms-excel.controlproperties+xml"/>
  <Override PartName="/xl/ctrlProps/ctrlProps102.xml" ContentType="application/vnd.ms-excel.controlproperties+xml"/>
  <Override PartName="/xl/ctrlProps/ctrlProps41.xml" ContentType="application/vnd.ms-excel.controlproperties+xml"/>
  <Override PartName="/xl/ctrlProps/ctrlProps101.xml" ContentType="application/vnd.ms-excel.controlproperties+xml"/>
  <Override PartName="/xl/ctrlProps/ctrlProps40.xml" ContentType="application/vnd.ms-excel.controlproperties+xml"/>
  <Override PartName="/xl/ctrlProps/ctrlProps100.xml" ContentType="application/vnd.ms-excel.controlproperties+xml"/>
  <Override PartName="/xl/ctrlProps/ctrlProps99.xml" ContentType="application/vnd.ms-excel.controlproperties+xml"/>
  <Override PartName="/xl/ctrlProps/ctrlProps98.xml" ContentType="application/vnd.ms-excel.controlproperties+xml"/>
  <Override PartName="/xl/ctrlProps/ctrlProps159.xml" ContentType="application/vnd.ms-excel.controlproperties+xml"/>
  <Override PartName="/xl/ctrlProps/ctrlProps97.xml" ContentType="application/vnd.ms-excel.controlproperties+xml"/>
  <Override PartName="/xl/ctrlProps/ctrlProps29.xml" ContentType="application/vnd.ms-excel.controlproperties+xml"/>
  <Override PartName="/xl/ctrlProps/ctrlProps158.xml" ContentType="application/vnd.ms-excel.controlproperties+xml"/>
  <Override PartName="/xl/ctrlProps/ctrlProps96.xml" ContentType="application/vnd.ms-excel.controlproperties+xml"/>
  <Override PartName="/xl/ctrlProps/ctrlProps28.xml" ContentType="application/vnd.ms-excel.controlproperties+xml"/>
  <Override PartName="/xl/ctrlProps/ctrlProps157.xml" ContentType="application/vnd.ms-excel.controlproperties+xml"/>
  <Override PartName="/xl/ctrlProps/ctrlProps95.xml" ContentType="application/vnd.ms-excel.controlproperties+xml"/>
  <Override PartName="/xl/ctrlProps/ctrlProps27.xml" ContentType="application/vnd.ms-excel.controlproperties+xml"/>
  <Override PartName="/xl/ctrlProps/ctrlProps156.xml" ContentType="application/vnd.ms-excel.controlproperties+xml"/>
  <Override PartName="/xl/ctrlProps/ctrlProps89.xml" ContentType="application/vnd.ms-excel.controlproperties+xml"/>
  <Override PartName="/xl/ctrlProps/ctrlProps88.xml" ContentType="application/vnd.ms-excel.controlproperties+xml"/>
  <Override PartName="/xl/ctrlProps/ctrlProps149.xml" ContentType="application/vnd.ms-excel.controlproperties+xml"/>
  <Override PartName="/xl/ctrlProps/ctrlProps87.xml" ContentType="application/vnd.ms-excel.controlproperties+xml"/>
  <Override PartName="/xl/ctrlProps/ctrlProps19.xml" ContentType="application/vnd.ms-excel.controlproperties+xml"/>
  <Override PartName="/xl/ctrlProps/ctrlProps148.xml" ContentType="application/vnd.ms-excel.controlproperties+xml"/>
  <Override PartName="/xl/ctrlProps/ctrlProps34.xml" ContentType="application/vnd.ms-excel.controlproperties+xml"/>
  <Override PartName="/xl/ctrlProps/ctrlProps107.xml" ContentType="application/vnd.ms-excel.controlproperties+xml"/>
  <Override PartName="/xl/ctrlProps/ctrlProps46.xml" ContentType="application/vnd.ms-excel.controlproperties+xml"/>
  <Override PartName="/xl/ctrlProps/ctrlProps2.xml" ContentType="application/vnd.ms-excel.controlproperties+xml"/>
  <Override PartName="/xl/ctrlProps/ctrlProps35.xml" ContentType="application/vnd.ms-excel.controlproperties+xml"/>
  <Override PartName="/xl/ctrlProps/ctrlProps36.xml" ContentType="application/vnd.ms-excel.controlproperties+xml"/>
  <Override PartName="/xl/ctrlProps/ctrlProps4.xml" ContentType="application/vnd.ms-excel.controlproperties+xml"/>
  <Override PartName="/xl/ctrlProps/ctrlProps109.xml" ContentType="application/vnd.ms-excel.controlproperties+xml"/>
  <Override PartName="/xl/ctrlProps/ctrlProps48.xml" ContentType="application/vnd.ms-excel.controlproperties+xml"/>
  <Override PartName="/xl/ctrlProps/ctrlProps6.xml" ContentType="application/vnd.ms-excel.controlproperties+xml"/>
  <Override PartName="/xl/ctrlProps/ctrlProps38.xml" ContentType="application/vnd.ms-excel.controlproperties+xml"/>
  <Override PartName="/xl/ctrlProps/ctrlProps37.xml" ContentType="application/vnd.ms-excel.controlproperties+xml"/>
  <Override PartName="/xl/ctrlProps/ctrlProps5.xml" ContentType="application/vnd.ms-excel.controlproperties+xml"/>
  <Override PartName="/xl/ctrlProps/ctrlProps49.xml" ContentType="application/vnd.ms-excel.controlproperties+xml"/>
  <Override PartName="/xl/ctrlProps/ctrlProps33.xml" ContentType="application/vnd.ms-excel.controlproperties+xml"/>
  <Override PartName="/xl/ctrlProps/ctrlProps115.xml" ContentType="application/vnd.ms-excel.controlproperties+xml"/>
  <Override PartName="/xl/ctrlProps/ctrlProps54.xml" ContentType="application/vnd.ms-excel.controlproperties+xml"/>
  <Override PartName="/xl/ctrlProps/ctrlProps113.xml" ContentType="application/vnd.ms-excel.controlproperties+xml"/>
  <Override PartName="/xl/ctrlProps/ctrlProps52.xml" ContentType="application/vnd.ms-excel.controlproperties+xml"/>
  <Override PartName="/xl/ctrlProps/ctrlProps3.xml" ContentType="application/vnd.ms-excel.controlproperties+xml"/>
  <Override PartName="/xl/ctrlProps/ctrlProps108.xml" ContentType="application/vnd.ms-excel.controlproperties+xml"/>
  <Override PartName="/xl/ctrlProps/ctrlProps47.xml" ContentType="application/vnd.ms-excel.controlproperties+xml"/>
  <Override PartName="/xl/ctrlProps/ctrlProps114.xml" ContentType="application/vnd.ms-excel.controlproperties+xml"/>
  <Override PartName="/xl/ctrlProps/ctrlProps53.xml" ContentType="application/vnd.ms-excel.controlproperties+xml"/>
  <Override PartName="/xl/ctrlProps/ctrlProps117.xml" ContentType="application/vnd.ms-excel.controlproperties+xml"/>
  <Override PartName="/xl/ctrlProps/ctrlProps56.xml" ContentType="application/vnd.ms-excel.controlproperties+xml"/>
  <Override PartName="/xl/ctrlProps/ctrlProps116.xml" ContentType="application/vnd.ms-excel.controlproperties+xml"/>
  <Override PartName="/xl/ctrlProps/ctrlProps55.xml" ContentType="application/vnd.ms-excel.controlproperties+xml"/>
  <Override PartName="/xl/ctrlProps/ctrlProps130.xml" ContentType="application/vnd.ms-excel.controlproperties+xml"/>
  <Override PartName="/xl/ctrlProps/ctrlProps106.xml" ContentType="application/vnd.ms-excel.controlproperties+xml"/>
  <Override PartName="/xl/ctrlProps/ctrlProps45.xml" ContentType="application/vnd.ms-excel.controlproperties+xml"/>
  <Override PartName="/xl/ctrlProps/ctrlProps144.xml" ContentType="application/vnd.ms-excel.controlproperties+xml"/>
  <Override PartName="/xl/ctrlProps/ctrlProps15.xml" ContentType="application/vnd.ms-excel.controlproperties+xml"/>
  <Override PartName="/xl/ctrlProps/ctrlProps83.xml" ContentType="application/vnd.ms-excel.controlproperties+xml"/>
  <Override PartName="/xl/ctrlProps/ctrlProps9.xml" ContentType="application/vnd.ms-excel.controlproperties+xml"/>
  <Override PartName="/xl/ctrlProps/ctrlProps10.xml" ContentType="application/vnd.ms-excel.controlproperties+xml"/>
  <Override PartName="/xl/ctrlProps/ctrlProps161.xml" ContentType="application/vnd.ms-excel.controlproperties+xml"/>
  <Override PartName="/xl/ctrlProps/ctrlProps32.xml" ContentType="application/vnd.ms-excel.controlproperties+xml"/>
  <Override PartName="/xl/ctrlProps/ctrlProps44.xml" ContentType="application/vnd.ms-excel.controlproperties+xml"/>
  <Override PartName="/xl/ctrlProps/ctrlProps105.xml" ContentType="application/vnd.ms-excel.controlproperties+xml"/>
  <Override PartName="/xl/ctrlProps/ctrlProps143.xml" ContentType="application/vnd.ms-excel.controlproperties+xml"/>
  <Override PartName="/xl/ctrlProps/ctrlProps14.xml" ContentType="application/vnd.ms-excel.controlproperties+xml"/>
  <Override PartName="/xl/ctrlProps/ctrlProps82.xml" ContentType="application/vnd.ms-excel.controlproperties+xml"/>
  <Override PartName="/xl/ctrlProps/ctrlProps8.xml" ContentType="application/vnd.ms-excel.controlproperties+xml"/>
  <Override PartName="/xl/ctrlProps/ctrlProps141.xml" ContentType="application/vnd.ms-excel.controlproperties+xml"/>
  <Override PartName="/xl/ctrlProps/ctrlProps80.xml" ContentType="application/vnd.ms-excel.controlproperties+xml"/>
  <Override PartName="/xl/ctrlProps/ctrlProps12.xml" ContentType="application/vnd.ms-excel.controlproperties+xml"/>
  <Override PartName="/xl/ctrlProps/ctrlProps160.xml" ContentType="application/vnd.ms-excel.controlproperties+xml"/>
  <Override PartName="/xl/ctrlProps/ctrlProps31.xml" ContentType="application/vnd.ms-excel.controlproperties+xml"/>
  <Override PartName="/xl/ctrlProps/ctrlProps43.xml" ContentType="application/vnd.ms-excel.controlproperties+xml"/>
  <Override PartName="/xl/ctrlProps/ctrlProps104.xml" ContentType="application/vnd.ms-excel.controlproperties+xml"/>
  <Override PartName="/xl/ctrlProps/ctrlProps140.xml" ContentType="application/vnd.ms-excel.controlproperties+xml"/>
  <Override PartName="/xl/ctrlProps/ctrlProps11.xml" ContentType="application/vnd.ms-excel.controlproperties+xml"/>
  <Override PartName="/xl/ctrlProps/ctrlProps142.xml" ContentType="application/vnd.ms-excel.controlproperties+xml"/>
  <Override PartName="/xl/ctrlProps/ctrlProps13.xml" ContentType="application/vnd.ms-excel.controlproperties+xml"/>
  <Override PartName="/xl/ctrlProps/ctrlProps81.xml" ContentType="application/vnd.ms-excel.controlproperties+xml"/>
  <Override PartName="/xl/ctrlProps/ctrlProps7.xml" ContentType="application/vnd.ms-excel.controlproperties+xml"/>
  <Override PartName="/xl/ctrlProps/ctrlProps39.xml" ContentType="application/vnd.ms-excel.controlproperties+xml"/>
  <Override PartName="/xl/ctrlProps/ctrlProps118.xml" ContentType="application/vnd.ms-excel.controlproperties+xml"/>
  <Override PartName="/xl/ctrlProps/ctrlProps57.xml" ContentType="application/vnd.ms-excel.controlproperties+xml"/>
  <Override PartName="/xl/ctrlProps/ctrlProps20.xml" ContentType="application/vnd.ms-excel.controlproperties+xml"/>
  <Override PartName="/xl/ctrlProps/ctrlProps16.xml" ContentType="application/vnd.ms-excel.controlproperties+xml"/>
  <Override PartName="/xl/ctrlProps/ctrlProps145.xml" ContentType="application/vnd.ms-excel.controlproperties+xml"/>
  <Override PartName="/xl/ctrlProps/ctrlProps84.xml" ContentType="application/vnd.ms-excel.controlproperties+xml"/>
  <Override PartName="/xl/ctrlProps/ctrlProps119.xml" ContentType="application/vnd.ms-excel.controlproperties+xml"/>
  <Override PartName="/xl/ctrlProps/ctrlProps58.xml" ContentType="application/vnd.ms-excel.controlproperties+xml"/>
  <Override PartName="/xl/ctrlProps/ctrlProps150.xml" ContentType="application/vnd.ms-excel.controlproperties+xml"/>
  <Override PartName="/xl/ctrlProps/ctrlProps21.xml" ContentType="application/vnd.ms-excel.controlproperties+xml"/>
  <Override PartName="/xl/ctrlProps/ctrlProps59.xml" ContentType="application/vnd.ms-excel.controlproperties+xml"/>
  <Override PartName="/xl/ctrlProps/ctrlProps151.xml" ContentType="application/vnd.ms-excel.controlproperties+xml"/>
  <Override PartName="/xl/ctrlProps/ctrlProps22.xml" ContentType="application/vnd.ms-excel.controlproperties+xml"/>
  <Override PartName="/xl/ctrlProps/ctrlProps90.xml" ContentType="application/vnd.ms-excel.controlproperties+xml"/>
  <Override PartName="/xl/ctrlProps/ctrlProps152.xml" ContentType="application/vnd.ms-excel.controlproperties+xml"/>
  <Override PartName="/xl/ctrlProps/ctrlProps23.xml" ContentType="application/vnd.ms-excel.controlproperties+xml"/>
  <Override PartName="/xl/ctrlProps/ctrlProps91.xml" ContentType="application/vnd.ms-excel.controlproperties+xml"/>
  <Override PartName="/xl/ctrlProps/ctrlProps153.xml" ContentType="application/vnd.ms-excel.controlproperties+xml"/>
  <Override PartName="/xl/ctrlProps/ctrlProps24.xml" ContentType="application/vnd.ms-excel.controlproperties+xml"/>
  <Override PartName="/xl/ctrlProps/ctrlProps92.xml" ContentType="application/vnd.ms-excel.controlproperties+xml"/>
  <Override PartName="/xl/ctrlProps/ctrlProps154.xml" ContentType="application/vnd.ms-excel.controlproperties+xml"/>
  <Override PartName="/xl/ctrlProps/ctrlProps25.xml" ContentType="application/vnd.ms-excel.controlproperties+xml"/>
  <Override PartName="/xl/ctrlProps/ctrlProps93.xml" ContentType="application/vnd.ms-excel.controlproperties+xml"/>
  <Override PartName="/xl/ctrlProps/ctrlProps30.xml" ContentType="application/vnd.ms-excel.controlproperties+xml"/>
  <Override PartName="/xl/ctrlProps/ctrlProps42.xml" ContentType="application/vnd.ms-excel.controlproperties+xml"/>
  <Override PartName="/xl/ctrlProps/ctrlProps103.xml" ContentType="application/vnd.ms-excel.controlproperties+xml"/>
  <Override PartName="/xl/ctrlProps/ctrlProps155.xml" ContentType="application/vnd.ms-excel.controlproperties+xml"/>
  <Override PartName="/xl/ctrlProps/ctrlProps26.xml" ContentType="application/vnd.ms-excel.controlproperties+xml"/>
  <Override PartName="/xl/ctrlProps/ctrlProps94.xml" ContentType="application/vnd.ms-excel.controlproperties+xml"/>
  <Override PartName="/xl/ctrlProps/ctrlProps123.xml" ContentType="application/vnd.ms-excel.controlproperties+xml"/>
  <Override PartName="/xl/ctrlProps/ctrlProps62.xml" ContentType="application/vnd.ms-excel.controlproperties+xml"/>
  <Override PartName="/xl/ctrlProps/ctrlProps124.xml" ContentType="application/vnd.ms-excel.controlproperties+xml"/>
  <Override PartName="/xl/ctrlProps/ctrlProps63.xml" ContentType="application/vnd.ms-excel.controlproperties+xml"/>
  <Override PartName="/xl/ctrlProps/ctrlProps125.xml" ContentType="application/vnd.ms-excel.controlproperties+xml"/>
  <Override PartName="/xl/ctrlProps/ctrlProps64.xml" ContentType="application/vnd.ms-excel.controlproperties+xml"/>
  <Override PartName="/xl/ctrlProps/ctrlProps126.xml" ContentType="application/vnd.ms-excel.controlproperties+xml"/>
  <Override PartName="/xl/ctrlProps/ctrlProps65.xml" ContentType="application/vnd.ms-excel.controlproperties+xml"/>
  <Override PartName="/xl/ctrlProps/ctrlProps127.xml" ContentType="application/vnd.ms-excel.controlproperties+xml"/>
  <Override PartName="/xl/ctrlProps/ctrlProps66.xml" ContentType="application/vnd.ms-excel.controlproperties+xml"/>
  <Override PartName="/xl/ctrlProps/ctrlProps128.xml" ContentType="application/vnd.ms-excel.controlproperties+xml"/>
  <Override PartName="/xl/ctrlProps/ctrlProps67.xml" ContentType="application/vnd.ms-excel.controlproperties+xml"/>
  <Override PartName="/xl/ctrlProps/ctrlProps129.xml" ContentType="application/vnd.ms-excel.controlproperties+xml"/>
  <Override PartName="/xl/ctrlProps/ctrlProps68.xml" ContentType="application/vnd.ms-excel.controlproperties+xml"/>
  <Override PartName="/xl/ctrlProps/ctrlProps69.xml" ContentType="application/vnd.ms-excel.controlproperties+xml"/>
  <Override PartName="/xl/ctrlProps/ctrlProps70.xml" ContentType="application/vnd.ms-excel.controlproperties+xml"/>
  <Override PartName="/xl/ctrlProps/ctrlProps131.xml" ContentType="application/vnd.ms-excel.controlproperties+xml"/>
  <Override PartName="/xl/ctrlProps/ctrlProps71.xml" ContentType="application/vnd.ms-excel.controlproperties+xml"/>
  <Override PartName="/xl/ctrlProps/ctrlProps132.xml" ContentType="application/vnd.ms-excel.controlproperties+xml"/>
  <Override PartName="/xl/ctrlProps/ctrlProps72.xml" ContentType="application/vnd.ms-excel.controlproperties+xml"/>
  <Override PartName="/xl/ctrlProps/ctrlProps133.xml" ContentType="application/vnd.ms-excel.controlproperties+xml"/>
  <Override PartName="/xl/ctrlProps/ctrlProps134.xml" ContentType="application/vnd.ms-excel.controlproperties+xml"/>
  <Override PartName="/xl/ctrlProps/ctrlProps73.xml" ContentType="application/vnd.ms-excel.controlproperties+xml"/>
  <Override PartName="/xl/ctrlProps/ctrlProps135.xml" ContentType="application/vnd.ms-excel.controlproperties+xml"/>
  <Override PartName="/xl/ctrlProps/ctrlProps74.xml" ContentType="application/vnd.ms-excel.controlproperties+xml"/>
  <Override PartName="/xl/ctrlProps/ctrlProps136.xml" ContentType="application/vnd.ms-excel.controlproperties+xml"/>
  <Override PartName="/xl/ctrlProps/ctrlProps75.xml" ContentType="application/vnd.ms-excel.controlproperties+xml"/>
  <Override PartName="/xl/ctrlProps/ctrlProps137.xml" ContentType="application/vnd.ms-excel.controlproperties+xml"/>
  <Override PartName="/xl/ctrlProps/ctrlProps76.xml" ContentType="application/vnd.ms-excel.controlproperties+xml"/>
  <Override PartName="/xl/ctrlProps/ctrlProps138.xml" ContentType="application/vnd.ms-excel.controlproperties+xml"/>
  <Override PartName="/xl/ctrlProps/ctrlProps77.xml" ContentType="application/vnd.ms-excel.controlproperties+xml"/>
  <Override PartName="/xl/ctrlProps/ctrlProps139.xml" ContentType="application/vnd.ms-excel.controlproperties+xml"/>
  <Override PartName="/xl/ctrlProps/ctrlProps78.xml" ContentType="application/vnd.ms-excel.controlproperties+xml"/>
  <Override PartName="/xl/ctrlProps/ctrlProps79.xml" ContentType="application/vnd.ms-excel.controlproperties+xml"/>
  <Override PartName="/xl/ctrlProps/ctrlProps17.xml" ContentType="application/vnd.ms-excel.controlproperties+xml"/>
  <Override PartName="/xl/ctrlProps/ctrlProps146.xml" ContentType="application/vnd.ms-excel.controlproperties+xml"/>
  <Override PartName="/xl/ctrlProps/ctrlProps85.xml" ContentType="application/vnd.ms-excel.controlproperties+xml"/>
  <Override PartName="/xl/ctrlProps/ctrlProps18.xml" ContentType="application/vnd.ms-excel.controlproperties+xml"/>
  <Override PartName="/xl/ctrlProps/ctrlProps147.xml" ContentType="application/vnd.ms-excel.controlproperties+xml"/>
  <Override PartName="/xl/ctrlProps/ctrlProps86.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965D" sheetId="1" state="visible" r:id="rId2"/>
    <sheet name="Print Copy" sheetId="2" state="visible" r:id="rId3"/>
    <sheet name="Instructions" sheetId="3" state="visible" r:id="rId4"/>
    <sheet name="Changelog" sheetId="4" state="hidden" r:id="rId5"/>
    <sheet name="INPUT_DATA" sheetId="5" state="hidden" r:id="rId6"/>
    <sheet name="FORMATTED" sheetId="6" state="hidden" r:id="rId7"/>
    <sheet name="_AIRCRAFT" sheetId="7" state="hidden" r:id="rId8"/>
  </sheets>
  <definedNames>
    <definedName function="false" hidden="false" localSheetId="1" name="_xlnm.Print_Area" vbProcedure="false">'Print Copy'!$B$2:$Y$35,'Print Copy'!$B$37:$Y$66</definedName>
    <definedName function="false" hidden="false" localSheetId="0" name="ExternalData_1" vbProcedure="false">'2965d'!#ref!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4" authorId="0">
      <text>
        <r>
          <rPr>
            <sz val="11"/>
            <color rgb="FF000000"/>
            <rFont val="Calibri"/>
            <family val="2"/>
            <charset val="1"/>
          </rPr>
          <t xml:space="preserve">Michael Jennings:
</t>
        </r>
        <r>
          <rPr>
            <sz val="9"/>
            <color rgb="FF000000"/>
            <rFont val="Tahoma"/>
            <family val="2"/>
            <charset val="1"/>
          </rPr>
          <t xml:space="preserve">Take the hours from the F700s "Running Log"</t>
        </r>
      </text>
    </comment>
    <comment ref="B5" authorId="0">
      <text>
        <r>
          <rPr>
            <sz val="11"/>
            <color rgb="FF000000"/>
            <rFont val="Calibri"/>
            <family val="2"/>
            <charset val="1"/>
          </rPr>
          <t xml:space="preserve">Michael Jennings:
</t>
        </r>
        <r>
          <rPr>
            <sz val="9"/>
            <color rgb="FF000000"/>
            <rFont val="Tahoma"/>
            <family val="2"/>
            <charset val="1"/>
          </rPr>
          <t xml:space="preserve">Take the launches from the F700s "Running Log"</t>
        </r>
      </text>
    </comment>
    <comment ref="B7" authorId="0">
      <text>
        <r>
          <rPr>
            <sz val="11"/>
            <color rgb="FF000000"/>
            <rFont val="Calibri"/>
            <family val="2"/>
            <charset val="1"/>
          </rPr>
          <t xml:space="preserve">Chris White:
Select pilot from drop down list. Add a pilot in the hidden DATA sheet if required.
</t>
        </r>
      </text>
    </comment>
    <comment ref="C7" authorId="0">
      <text>
        <r>
          <rPr>
            <sz val="11"/>
            <color rgb="FF000000"/>
            <rFont val="Calibri"/>
            <family val="2"/>
            <charset val="1"/>
          </rPr>
          <t xml:space="preserve">Chris White:
</t>
        </r>
        <r>
          <rPr>
            <sz val="9"/>
            <color rgb="FF000000"/>
            <rFont val="Tahoma"/>
            <family val="2"/>
            <charset val="1"/>
          </rPr>
          <t xml:space="preserve">Type surname</t>
        </r>
      </text>
    </comment>
    <comment ref="D2" authorId="0">
      <text>
        <r>
          <rPr>
            <sz val="11"/>
            <color rgb="FF000000"/>
            <rFont val="Calibri"/>
            <family val="2"/>
            <charset val="1"/>
          </rPr>
          <t xml:space="preserve">Michael Jennings:
</t>
        </r>
        <r>
          <rPr>
            <sz val="9"/>
            <color rgb="FF000000"/>
            <rFont val="Tahoma"/>
            <family val="2"/>
            <charset val="1"/>
          </rPr>
          <t xml:space="preserve">Enter your AC number. If its not there, add it to the hidden INPUT_DATA sheet</t>
        </r>
      </text>
    </comment>
    <comment ref="D7" authorId="0">
      <text>
        <r>
          <rPr>
            <sz val="11"/>
            <color rgb="FF000000"/>
            <rFont val="Calibri"/>
            <family val="2"/>
            <charset val="1"/>
          </rPr>
          <t xml:space="preserve">Chris White:
</t>
        </r>
        <r>
          <rPr>
            <sz val="9"/>
            <color rgb="FF000000"/>
            <rFont val="Tahoma"/>
            <family val="2"/>
            <charset val="1"/>
          </rPr>
          <t xml:space="preserve">Choose duty from the drop down list</t>
        </r>
      </text>
    </comment>
    <comment ref="E5" authorId="0">
      <text>
        <r>
          <rPr>
            <sz val="11"/>
            <color rgb="FF000000"/>
            <rFont val="Calibri"/>
            <family val="2"/>
            <charset val="1"/>
          </rPr>
          <t xml:space="preserve">Michael Jennings:
</t>
        </r>
        <r>
          <rPr>
            <sz val="9"/>
            <color rgb="FF000000"/>
            <rFont val="Tahoma"/>
            <family val="2"/>
            <charset val="1"/>
          </rPr>
          <t xml:space="preserve">If you have less than 32 launches, you can enter the number here and a red line will appear.</t>
        </r>
      </text>
    </comment>
    <comment ref="E7" authorId="0">
      <text>
        <r>
          <rPr>
            <sz val="11"/>
            <color rgb="FF000000"/>
            <rFont val="Calibri"/>
            <family val="2"/>
            <charset val="1"/>
          </rPr>
          <t xml:space="preserve">Chris White:
</t>
        </r>
        <r>
          <rPr>
            <sz val="9"/>
            <color rgb="FF000000"/>
            <rFont val="Tahoma"/>
            <family val="2"/>
            <charset val="1"/>
          </rPr>
          <t xml:space="preserve">Use CTR+SHIFT+; to enter the time of landing</t>
        </r>
      </text>
    </comment>
    <comment ref="F7" authorId="0">
      <text>
        <r>
          <rPr>
            <sz val="11"/>
            <color rgb="FF000000"/>
            <rFont val="Calibri"/>
            <family val="2"/>
            <charset val="1"/>
          </rPr>
          <t xml:space="preserve">Chris White:
</t>
        </r>
        <r>
          <rPr>
            <sz val="9"/>
            <color rgb="FF000000"/>
            <rFont val="Tahoma"/>
            <family val="2"/>
            <charset val="1"/>
          </rPr>
          <t xml:space="preserve">Use CTR+SHIFT+; to enter the time of landing</t>
        </r>
      </text>
    </comment>
    <comment ref="L9" authorId="0">
      <text>
        <r>
          <rPr>
            <sz val="11"/>
            <color rgb="FF000000"/>
            <rFont val="Calibri"/>
            <family val="2"/>
            <charset val="1"/>
          </rPr>
          <t xml:space="preserve">Michael Jennings:
</t>
        </r>
        <r>
          <rPr>
            <sz val="9"/>
            <color rgb="FF000000"/>
            <rFont val="Tahoma"/>
            <family val="2"/>
            <charset val="1"/>
          </rPr>
          <t xml:space="preserve">Tick the pilot claiming the SCT e.g. P2 is 2nd pilot</t>
        </r>
      </text>
    </comment>
    <comment ref="O2" authorId="0">
      <text>
        <r>
          <rPr>
            <sz val="11"/>
            <color rgb="FF000000"/>
            <rFont val="Calibri"/>
            <family val="2"/>
            <charset val="1"/>
          </rPr>
          <t xml:space="preserve">Chris White:
</t>
        </r>
        <r>
          <rPr>
            <sz val="9"/>
            <color rgb="FF000000"/>
            <rFont val="Tahoma"/>
            <family val="2"/>
            <charset val="1"/>
          </rPr>
          <t xml:space="preserve">Use CTRL+; to enter the date</t>
        </r>
      </text>
    </comment>
    <comment ref="T7" authorId="0">
      <text>
        <r>
          <rPr>
            <sz val="11"/>
            <color rgb="FF000000"/>
            <rFont val="Calibri"/>
            <family val="2"/>
            <charset val="1"/>
          </rPr>
          <t xml:space="preserve">Michael Jennings:
</t>
        </r>
        <r>
          <rPr>
            <sz val="9"/>
            <color rgb="FF000000"/>
            <rFont val="Tahoma"/>
            <family val="2"/>
            <charset val="1"/>
          </rPr>
          <t xml:space="preserve">Enter the last four digits of your service number here.
If the initials do not appear in "Print Copy" sheet, add your SN to "INPUT_DATA"</t>
        </r>
      </text>
    </comment>
    <comment ref="V9" authorId="0">
      <text>
        <r>
          <rPr>
            <sz val="11"/>
            <color rgb="FF000000"/>
            <rFont val="Calibri"/>
            <family val="2"/>
            <charset val="1"/>
          </rPr>
          <t xml:space="preserve">MJ: </t>
        </r>
        <r>
          <rPr>
            <sz val="9"/>
            <color rgb="FF000000"/>
            <rFont val="Tahoma"/>
            <family val="2"/>
            <charset val="1"/>
          </rPr>
          <t xml:space="preserve">Tick if the aircraft was soaring (SPC 6)
</t>
        </r>
      </text>
    </comment>
    <comment ref="W9" authorId="0">
      <text>
        <r>
          <rPr>
            <sz val="11"/>
            <color rgb="FF000000"/>
            <rFont val="Calibri"/>
            <family val="2"/>
            <charset val="1"/>
          </rPr>
          <t xml:space="preserve">MJ: </t>
        </r>
        <r>
          <rPr>
            <sz val="9"/>
            <color rgb="FF000000"/>
            <rFont val="Tahoma"/>
            <family val="2"/>
            <charset val="1"/>
          </rPr>
          <t xml:space="preserve">Tick if the aircraft was performing aerobatics (SPC 7)
</t>
        </r>
      </text>
    </comment>
  </commentList>
</comments>
</file>

<file path=xl/sharedStrings.xml><?xml version="1.0" encoding="utf-8"?>
<sst xmlns="http://schemas.openxmlformats.org/spreadsheetml/2006/main" count="368" uniqueCount="240">
  <si>
    <t xml:space="preserve">661 VGS</t>
  </si>
  <si>
    <t xml:space="preserve">A/C Number</t>
  </si>
  <si>
    <t xml:space="preserve">ZE633</t>
  </si>
  <si>
    <t xml:space="preserve">A/C Tail Letters</t>
  </si>
  <si>
    <t xml:space="preserve">Date</t>
  </si>
  <si>
    <t xml:space="preserve">F724 Hours 
B/F</t>
  </si>
  <si>
    <t xml:space="preserve">F724 Launches B/F</t>
  </si>
  <si>
    <r>
      <rPr>
        <b val="true"/>
        <sz val="11"/>
        <rFont val="Arial"/>
        <family val="2"/>
        <charset val="1"/>
      </rPr>
      <t xml:space="preserve">Launches Left
</t>
    </r>
    <r>
      <rPr>
        <sz val="8"/>
        <rFont val="Arial"/>
        <family val="2"/>
        <charset val="1"/>
      </rPr>
      <t xml:space="preserve">(If 32 or less)</t>
    </r>
  </si>
  <si>
    <t xml:space="preserve">F724 Entry Guide at the bottom of sheet</t>
  </si>
  <si>
    <t xml:space="preserve">Ser No.</t>
  </si>
  <si>
    <t xml:space="preserve">Trainee</t>
  </si>
  <si>
    <t xml:space="preserve">SCT</t>
  </si>
  <si>
    <t xml:space="preserve">Claimed By</t>
  </si>
  <si>
    <t xml:space="preserve">Other (G)</t>
  </si>
  <si>
    <t xml:space="preserve">SPC</t>
  </si>
  <si>
    <t xml:space="preserve">SPC
(Hours/Minutes)</t>
  </si>
  <si>
    <t xml:space="preserve">PLF</t>
  </si>
  <si>
    <t xml:space="preserve">After Flight Initials</t>
  </si>
  <si>
    <t xml:space="preserve">GIF</t>
  </si>
  <si>
    <t xml:space="preserve">G/S</t>
  </si>
  <si>
    <t xml:space="preserve">AGT</t>
  </si>
  <si>
    <t xml:space="preserve">QGI</t>
  </si>
  <si>
    <t xml:space="preserve">U/T</t>
  </si>
  <si>
    <t xml:space="preserve">Aircraft Commander</t>
  </si>
  <si>
    <t xml:space="preserve">2nd Pilot/Trainee or Passenger</t>
  </si>
  <si>
    <t xml:space="preserve">Duty</t>
  </si>
  <si>
    <t xml:space="preserve">Take Off Time</t>
  </si>
  <si>
    <t xml:space="preserve">Landing Time</t>
  </si>
  <si>
    <t xml:space="preserve">(B)</t>
  </si>
  <si>
    <t xml:space="preserve">(C)</t>
  </si>
  <si>
    <t xml:space="preserve">(D)</t>
  </si>
  <si>
    <t xml:space="preserve">(E)</t>
  </si>
  <si>
    <t xml:space="preserve">(F)</t>
  </si>
  <si>
    <t xml:space="preserve">P1</t>
  </si>
  <si>
    <t xml:space="preserve">P2</t>
  </si>
  <si>
    <t xml:space="preserve">Warnings</t>
  </si>
  <si>
    <t xml:space="preserve">Soaring</t>
  </si>
  <si>
    <t xml:space="preserve">Aeros</t>
  </si>
  <si>
    <t xml:space="preserve">Jennings</t>
  </si>
  <si>
    <t xml:space="preserve">Smith</t>
  </si>
  <si>
    <t xml:space="preserve">Derp</t>
  </si>
  <si>
    <t xml:space="preserve">Bojangles</t>
  </si>
  <si>
    <t xml:space="preserve">Bloggs</t>
  </si>
  <si>
    <t xml:space="preserve">Abbott</t>
  </si>
  <si>
    <t xml:space="preserve">SCT QGI</t>
  </si>
  <si>
    <t xml:space="preserve">SCT U/T</t>
  </si>
  <si>
    <t xml:space="preserve">PAX</t>
  </si>
  <si>
    <t xml:space="preserve">Total Hours</t>
  </si>
  <si>
    <t xml:space="preserve">Total Launches</t>
  </si>
  <si>
    <t xml:space="preserve">F724 Entries</t>
  </si>
  <si>
    <t xml:space="preserve">Hours Flown</t>
  </si>
  <si>
    <t xml:space="preserve">Launches</t>
  </si>
  <si>
    <t xml:space="preserve">Sortie Profile Code</t>
  </si>
  <si>
    <t xml:space="preserve">Captains Name</t>
  </si>
  <si>
    <t xml:space="preserve">Daily Total</t>
  </si>
  <si>
    <t xml:space="preserve">Total</t>
  </si>
  <si>
    <t xml:space="preserve">Line 1</t>
  </si>
  <si>
    <t xml:space="preserve">RAF GLIDER DAILY FLYING TIMES</t>
  </si>
  <si>
    <t xml:space="preserve">RAF Form 2965B
(Revised 1/19)
PPQ = 100</t>
  </si>
  <si>
    <r>
      <rPr>
        <b val="true"/>
        <sz val="14"/>
        <color rgb="FF000000"/>
        <rFont val="Arial"/>
        <family val="2"/>
        <charset val="1"/>
      </rPr>
      <t xml:space="preserve">Unit  </t>
    </r>
    <r>
      <rPr>
        <u val="single"/>
        <sz val="14"/>
        <color rgb="FF000000"/>
        <rFont val="Arial"/>
        <family val="2"/>
        <charset val="1"/>
      </rPr>
      <t xml:space="preserve">661VGS</t>
    </r>
  </si>
  <si>
    <t xml:space="preserve">Ser No</t>
  </si>
  <si>
    <t xml:space="preserve">Aircraft 
Commander</t>
  </si>
  <si>
    <t xml:space="preserve">2nd Pilot/
Trainee or
 Passenger</t>
  </si>
  <si>
    <t xml:space="preserve">Take
Off
Time</t>
  </si>
  <si>
    <t xml:space="preserve">Other
(G)</t>
  </si>
  <si>
    <t xml:space="preserve">Sortie Profile Codes (SPC)
(Hours/Minutes)</t>
  </si>
  <si>
    <t xml:space="preserve">Aero
Tow</t>
  </si>
  <si>
    <t xml:space="preserve">After
Flight
initials</t>
  </si>
  <si>
    <t xml:space="preserve">ATP</t>
  </si>
  <si>
    <t xml:space="preserve">SGS</t>
  </si>
  <si>
    <t xml:space="preserve">GWGT</t>
  </si>
  <si>
    <t xml:space="preserve">Print Instructions</t>
  </si>
  <si>
    <t xml:space="preserve">File -&gt; Print</t>
  </si>
  <si>
    <t xml:space="preserve">Print only active sheet </t>
  </si>
  <si>
    <t xml:space="preserve">Double sided flip on long side</t>
  </si>
  <si>
    <r>
      <rPr>
        <b val="true"/>
        <sz val="11"/>
        <color rgb="FF000000"/>
        <rFont val="Arial"/>
        <family val="2"/>
        <charset val="1"/>
      </rPr>
      <t xml:space="preserve">SORTIE PROFILE CODES (SPC)
</t>
    </r>
    <r>
      <rPr>
        <sz val="11"/>
        <color rgb="FF000000"/>
        <rFont val="Arial"/>
        <family val="2"/>
        <charset val="1"/>
      </rPr>
      <t xml:space="preserve">1. Winch launch with circuits
2. Aerotow
3. Aerotow with soaring
4. Aerotow with stalls
5. Aerotow with aerobatics
6. Winch launch with soaring
7. Winch launch with aerobatics</t>
    </r>
  </si>
  <si>
    <t xml:space="preserve">Carry
Forward</t>
  </si>
  <si>
    <t xml:space="preserve">Hours</t>
  </si>
  <si>
    <t xml:space="preserve">Brought Forward</t>
  </si>
  <si>
    <t xml:space="preserve">Hours B/F from F724</t>
  </si>
  <si>
    <t xml:space="preserve">Launches B/F from F724</t>
  </si>
  <si>
    <t xml:space="preserve">Hours C/F to F724</t>
  </si>
  <si>
    <t xml:space="preserve">Launches C/F to F724</t>
  </si>
  <si>
    <t xml:space="preserve">Checked by ______________________________________ (DI's Signature)</t>
  </si>
  <si>
    <t xml:space="preserve">Start of Day</t>
  </si>
  <si>
    <r>
      <rPr>
        <sz val="11"/>
        <color rgb="FF000000"/>
        <rFont val="Calibri"/>
        <family val="2"/>
        <charset val="1"/>
      </rPr>
      <t xml:space="preserve">Save the file </t>
    </r>
    <r>
      <rPr>
        <b val="true"/>
        <sz val="11"/>
        <color rgb="FF000000"/>
        <rFont val="Calibri"/>
        <family val="2"/>
        <charset val="1"/>
      </rPr>
      <t xml:space="preserve">to Sharepoint</t>
    </r>
    <r>
      <rPr>
        <sz val="11"/>
        <color rgb="FF000000"/>
        <rFont val="Calibri"/>
        <family val="2"/>
        <charset val="1"/>
      </rPr>
      <t xml:space="preserve"> and name it "2965D_DATE_AIRCRAFT.xlsx" e.g. 2965D_250211_ZE625.xlsx</t>
    </r>
  </si>
  <si>
    <t xml:space="preserve">Enter aircraft number and date along the top</t>
  </si>
  <si>
    <t xml:space="preserve">Add launches and hours before flight from the F724.</t>
  </si>
  <si>
    <t xml:space="preserve">Add the last four digits of the AC commander into the AF initials column during the in-brief.</t>
  </si>
  <si>
    <t xml:space="preserve">End of Day</t>
  </si>
  <si>
    <r>
      <rPr>
        <sz val="11"/>
        <color rgb="FF000000"/>
        <rFont val="Calibri"/>
        <family val="2"/>
        <charset val="1"/>
      </rPr>
      <t xml:space="preserve">Ensure the log sheet has </t>
    </r>
    <r>
      <rPr>
        <b val="true"/>
        <sz val="11"/>
        <color rgb="FF000000"/>
        <rFont val="Calibri"/>
        <family val="2"/>
        <charset val="1"/>
      </rPr>
      <t xml:space="preserve">saved</t>
    </r>
    <r>
      <rPr>
        <sz val="11"/>
        <color rgb="FF000000"/>
        <rFont val="Calibri"/>
        <family val="2"/>
        <charset val="1"/>
      </rPr>
      <t xml:space="preserve"> to Sharepoint</t>
    </r>
  </si>
  <si>
    <t xml:space="preserve">Login to the VGS Stats Dashboard</t>
  </si>
  <si>
    <r>
      <rPr>
        <b val="true"/>
        <sz val="11"/>
        <color rgb="FF000000"/>
        <rFont val="Calibri"/>
        <family val="2"/>
        <charset val="1"/>
      </rPr>
      <t xml:space="preserve">Upload</t>
    </r>
    <r>
      <rPr>
        <sz val="11"/>
        <color rgb="FF000000"/>
        <rFont val="Calibri"/>
        <family val="2"/>
        <charset val="1"/>
      </rPr>
      <t xml:space="preserve"> log sheets on the "Upload Log Sheets" page</t>
    </r>
  </si>
  <si>
    <r>
      <rPr>
        <sz val="11"/>
        <color rgb="FF000000"/>
        <rFont val="Calibri"/>
        <family val="2"/>
        <charset val="1"/>
      </rPr>
      <t xml:space="preserve">Go to "Print Copy" and </t>
    </r>
    <r>
      <rPr>
        <b val="true"/>
        <sz val="11"/>
        <color rgb="FF000000"/>
        <rFont val="Calibri"/>
        <family val="2"/>
        <charset val="1"/>
      </rPr>
      <t xml:space="preserve">print</t>
    </r>
    <r>
      <rPr>
        <sz val="11"/>
        <color rgb="FF000000"/>
        <rFont val="Calibri"/>
        <family val="2"/>
        <charset val="1"/>
      </rPr>
      <t xml:space="preserve"> the log sheet. </t>
    </r>
  </si>
  <si>
    <t xml:space="preserve">If you really need to, the editing password for this document is "Viking"</t>
  </si>
  <si>
    <t xml:space="preserve">Version</t>
  </si>
  <si>
    <t xml:space="preserve">Name</t>
  </si>
  <si>
    <t xml:space="preserve">Changes</t>
  </si>
  <si>
    <t xml:space="preserve">1.1.0</t>
  </si>
  <si>
    <t xml:space="preserve">MJ</t>
  </si>
  <si>
    <t xml:space="preserve">Updated SPC column to be 6 if time flown is &gt; 9 min 30 seconds.
Added CGS names into aircraft commander columns
Added changelog
Updated instructions with hyperlinks and next steps</t>
  </si>
  <si>
    <t xml:space="preserve">1.2.0</t>
  </si>
  <si>
    <t xml:space="preserve">Added checkboxes to PLF columns. FORMATTED now returns TRUE or FALSE.</t>
  </si>
  <si>
    <t xml:space="preserve">1.3.1</t>
  </si>
  <si>
    <t xml:space="preserve">Added pilots</t>
  </si>
  <si>
    <t xml:space="preserve">1.4.0</t>
  </si>
  <si>
    <t xml:space="preserve">CW</t>
  </si>
  <si>
    <t xml:space="preserve">Instruction (7) updated
Extra instructions added
Tickboxes added to P1 and P2 columns
Duty drop down list updated
Duty column headers updated on the 2965D
FORMATTED table P1 and P2 columns added</t>
  </si>
  <si>
    <t xml:space="preserve">1.4.1</t>
  </si>
  <si>
    <t xml:space="preserve">Added pilot and aircraft.  Various formula's updated to reflect weaknesses in new duty names and full sheets</t>
  </si>
  <si>
    <t xml:space="preserve">1.4.2</t>
  </si>
  <si>
    <t xml:space="preserve">Fixed formula in total launches boxes using COUNTA instead of 23-COUNTBLANK. 
Changed duty back to G/S, AGT.
Simpified instructions.
Added locked cells and password-protected sheet.</t>
  </si>
  <si>
    <t xml:space="preserve">2.0.0</t>
  </si>
  <si>
    <t xml:space="preserve">DA</t>
  </si>
  <si>
    <t xml:space="preserve">Major changes to template:
Added F724 entry guide
Added Print Copy for if required to print log sheet</t>
  </si>
  <si>
    <t xml:space="preserve">2.1.0</t>
  </si>
  <si>
    <t xml:space="preserve">Added formatting to display max launches left</t>
  </si>
  <si>
    <t xml:space="preserve">2.2.0</t>
  </si>
  <si>
    <t xml:space="preserve">Fixed print area on Print Copy
Print copy cells no longer show 0 when the sheet is blank
Fixed typo in 724 B/F cell</t>
  </si>
  <si>
    <t xml:space="preserve">2.3.0</t>
  </si>
  <si>
    <t xml:space="preserve">Added _AIRCRAFT to capture hours and launches after flight
Updated instructions with hyperlinks</t>
  </si>
  <si>
    <t xml:space="preserve">2.3.1</t>
  </si>
  <si>
    <t xml:space="preserve">Fixed _AIRCRAFT hours and launches pulling from the wrong fields</t>
  </si>
  <si>
    <t xml:space="preserve">2.3.2</t>
  </si>
  <si>
    <t xml:space="preserve">Fixed launches column in _AIRCRAFT pulling from the hours row</t>
  </si>
  <si>
    <t xml:space="preserve">2.4.0</t>
  </si>
  <si>
    <t xml:space="preserve">GM</t>
  </si>
  <si>
    <t xml:space="preserve">Sortie Profile Codes now assigned using checkboxes</t>
  </si>
  <si>
    <t xml:space="preserve">3.0.0</t>
  </si>
  <si>
    <t xml:space="preserve">Last 4 of SN now entered into A/F column will add initials to Print Copy</t>
  </si>
  <si>
    <t xml:space="preserve">3.1.0</t>
  </si>
  <si>
    <t xml:space="preserve">Checkboxes for soaring and aeros now compatible with older office versions</t>
  </si>
  <si>
    <t xml:space="preserve">3.2.0</t>
  </si>
  <si>
    <t xml:space="preserve">Formatted notes to ensure all text is visible
Added data type to launches left, hours before, launches before, and second pilot column
Reformatted instructions with start of day and end of day</t>
  </si>
  <si>
    <t xml:space="preserve">3.3.0</t>
  </si>
  <si>
    <t xml:space="preserve">Added drop-down for 2nd pilot column
Changed INPUT_DATA to have Duty as a table
Changed INPUT_DATA to create Pilots table</t>
  </si>
  <si>
    <t xml:space="preserve">3.3.1</t>
  </si>
  <si>
    <t xml:space="preserve">Fixed issue where AF signatures did not pull through to page two of the print copy</t>
  </si>
  <si>
    <t xml:space="preserve">3.3.2</t>
  </si>
  <si>
    <t xml:space="preserve">Added ZE626</t>
  </si>
  <si>
    <t xml:space="preserve">3.3.3</t>
  </si>
  <si>
    <t xml:space="preserve">Added ZE557</t>
  </si>
  <si>
    <t xml:space="preserve">Number</t>
  </si>
  <si>
    <t xml:space="preserve">Tail Letter</t>
  </si>
  <si>
    <t xml:space="preserve">ZE528</t>
  </si>
  <si>
    <t xml:space="preserve">VQ</t>
  </si>
  <si>
    <t xml:space="preserve">ZE495</t>
  </si>
  <si>
    <t xml:space="preserve">VA</t>
  </si>
  <si>
    <t xml:space="preserve">ZE602</t>
  </si>
  <si>
    <t xml:space="preserve">XB</t>
  </si>
  <si>
    <t xml:space="preserve">ZE625</t>
  </si>
  <si>
    <t xml:space="preserve">XP</t>
  </si>
  <si>
    <t xml:space="preserve">ZE527</t>
  </si>
  <si>
    <t xml:space="preserve">VP</t>
  </si>
  <si>
    <t xml:space="preserve">XX</t>
  </si>
  <si>
    <t xml:space="preserve">ZE529</t>
  </si>
  <si>
    <t xml:space="preserve">VR</t>
  </si>
  <si>
    <t xml:space="preserve">ZE626</t>
  </si>
  <si>
    <t xml:space="preserve">XQ</t>
  </si>
  <si>
    <t xml:space="preserve">ZE557</t>
  </si>
  <si>
    <t xml:space="preserve">WE</t>
  </si>
  <si>
    <t xml:space="preserve">SN Last 4</t>
  </si>
  <si>
    <t xml:space="preserve">Pilot</t>
  </si>
  <si>
    <t xml:space="preserve">Surname</t>
  </si>
  <si>
    <t xml:space="preserve">0593</t>
  </si>
  <si>
    <t xml:space="preserve">5744</t>
  </si>
  <si>
    <t xml:space="preserve">IA</t>
  </si>
  <si>
    <t xml:space="preserve">Amos</t>
  </si>
  <si>
    <t xml:space="preserve">9013</t>
  </si>
  <si>
    <t xml:space="preserve">SA</t>
  </si>
  <si>
    <t xml:space="preserve">Arijs</t>
  </si>
  <si>
    <t xml:space="preserve">2003</t>
  </si>
  <si>
    <t xml:space="preserve">AB</t>
  </si>
  <si>
    <t xml:space="preserve">Baruah</t>
  </si>
  <si>
    <t xml:space="preserve">2143</t>
  </si>
  <si>
    <t xml:space="preserve">JB</t>
  </si>
  <si>
    <t xml:space="preserve">Blair</t>
  </si>
  <si>
    <t xml:space="preserve">SB</t>
  </si>
  <si>
    <t xml:space="preserve">Burton</t>
  </si>
  <si>
    <t xml:space="preserve">3208</t>
  </si>
  <si>
    <t xml:space="preserve">KC</t>
  </si>
  <si>
    <t xml:space="preserve">Carr, K</t>
  </si>
  <si>
    <t xml:space="preserve">CD</t>
  </si>
  <si>
    <t xml:space="preserve">Delaney</t>
  </si>
  <si>
    <t xml:space="preserve">HE</t>
  </si>
  <si>
    <t xml:space="preserve">Eagleson</t>
  </si>
  <si>
    <t xml:space="preserve">4456</t>
  </si>
  <si>
    <t xml:space="preserve">KG</t>
  </si>
  <si>
    <t xml:space="preserve">Gallagher</t>
  </si>
  <si>
    <t xml:space="preserve">SG</t>
  </si>
  <si>
    <t xml:space="preserve">Goddard</t>
  </si>
  <si>
    <t xml:space="preserve">5909</t>
  </si>
  <si>
    <t xml:space="preserve">1011</t>
  </si>
  <si>
    <t xml:space="preserve">GJ</t>
  </si>
  <si>
    <t xml:space="preserve">Jones</t>
  </si>
  <si>
    <t xml:space="preserve">796B</t>
  </si>
  <si>
    <t xml:space="preserve">CL</t>
  </si>
  <si>
    <t xml:space="preserve">Law</t>
  </si>
  <si>
    <t xml:space="preserve">SL</t>
  </si>
  <si>
    <t xml:space="preserve">Link</t>
  </si>
  <si>
    <t xml:space="preserve">AM</t>
  </si>
  <si>
    <t xml:space="preserve">Maisey</t>
  </si>
  <si>
    <t xml:space="preserve">8923</t>
  </si>
  <si>
    <t xml:space="preserve">McCormick</t>
  </si>
  <si>
    <t xml:space="preserve">2006</t>
  </si>
  <si>
    <t xml:space="preserve">LM</t>
  </si>
  <si>
    <t xml:space="preserve">McGhee</t>
  </si>
  <si>
    <t xml:space="preserve">1277</t>
  </si>
  <si>
    <t xml:space="preserve">JP</t>
  </si>
  <si>
    <t xml:space="preserve">Parker</t>
  </si>
  <si>
    <t xml:space="preserve">NP</t>
  </si>
  <si>
    <t xml:space="preserve">Patterson</t>
  </si>
  <si>
    <t xml:space="preserve">6223</t>
  </si>
  <si>
    <t xml:space="preserve">LP</t>
  </si>
  <si>
    <t xml:space="preserve">Phillips</t>
  </si>
  <si>
    <t xml:space="preserve">8596</t>
  </si>
  <si>
    <t xml:space="preserve">AR</t>
  </si>
  <si>
    <t xml:space="preserve">Ritchie</t>
  </si>
  <si>
    <t xml:space="preserve">9647</t>
  </si>
  <si>
    <t xml:space="preserve">PS</t>
  </si>
  <si>
    <t xml:space="preserve">Suggett</t>
  </si>
  <si>
    <t xml:space="preserve">0103</t>
  </si>
  <si>
    <t xml:space="preserve">KT</t>
  </si>
  <si>
    <t xml:space="preserve">Tuach</t>
  </si>
  <si>
    <t xml:space="preserve">0572</t>
  </si>
  <si>
    <t xml:space="preserve">White, C</t>
  </si>
  <si>
    <t xml:space="preserve">RW</t>
  </si>
  <si>
    <t xml:space="preserve">White, R</t>
  </si>
  <si>
    <t xml:space="preserve">TW</t>
  </si>
  <si>
    <t xml:space="preserve">Webb</t>
  </si>
  <si>
    <t xml:space="preserve">GW</t>
  </si>
  <si>
    <t xml:space="preserve">Webber</t>
  </si>
  <si>
    <t xml:space="preserve">AircraftCommander</t>
  </si>
  <si>
    <t xml:space="preserve">2ndPilot</t>
  </si>
  <si>
    <t xml:space="preserve">TakeOffTime</t>
  </si>
  <si>
    <t xml:space="preserve">LandingTime</t>
  </si>
  <si>
    <t xml:space="preserve">FlightTime</t>
  </si>
  <si>
    <t xml:space="preserve">Aircraft</t>
  </si>
  <si>
    <t xml:space="preserve">Hours After</t>
  </si>
  <si>
    <t xml:space="preserve">Launches After</t>
  </si>
</sst>
</file>

<file path=xl/styles.xml><?xml version="1.0" encoding="utf-8"?>
<styleSheet xmlns="http://schemas.openxmlformats.org/spreadsheetml/2006/main">
  <numFmts count="14">
    <numFmt numFmtId="164" formatCode="General"/>
    <numFmt numFmtId="165" formatCode="dd/mm/yyyy"/>
    <numFmt numFmtId="166" formatCode="[h]:mm"/>
    <numFmt numFmtId="167" formatCode="0"/>
    <numFmt numFmtId="168" formatCode="@"/>
    <numFmt numFmtId="169" formatCode="hh:mm"/>
    <numFmt numFmtId="170" formatCode="General"/>
    <numFmt numFmtId="171" formatCode="&quot;TRUE&quot;;&quot;TRUE&quot;;&quot;FALSE&quot;"/>
    <numFmt numFmtId="172" formatCode="0.00"/>
    <numFmt numFmtId="173" formatCode="[hh]:mm"/>
    <numFmt numFmtId="174" formatCode="dd\-mmm\-yy"/>
    <numFmt numFmtId="175" formatCode="dd\ mmm\ yy"/>
    <numFmt numFmtId="176" formatCode="[$-F400]h:mm:ss\ AM/PM"/>
    <numFmt numFmtId="177" formatCode="[h]:mm:ss"/>
  </numFmts>
  <fonts count="34">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b val="true"/>
      <sz val="11"/>
      <color rgb="FFFF0000"/>
      <name val="Arial"/>
      <family val="2"/>
      <charset val="1"/>
    </font>
    <font>
      <b val="true"/>
      <sz val="11"/>
      <name val="Arial"/>
      <family val="2"/>
      <charset val="1"/>
    </font>
    <font>
      <sz val="8"/>
      <name val="Arial"/>
      <family val="2"/>
      <charset val="1"/>
    </font>
    <font>
      <sz val="10"/>
      <color rgb="FF000000"/>
      <name val="Calibri"/>
      <family val="2"/>
      <charset val="1"/>
    </font>
    <font>
      <sz val="9"/>
      <color rgb="FF000000"/>
      <name val="Arial"/>
      <family val="2"/>
      <charset val="1"/>
    </font>
    <font>
      <sz val="9"/>
      <color rgb="FFFF0000"/>
      <name val="Arial"/>
      <family val="2"/>
      <charset val="1"/>
    </font>
    <font>
      <sz val="11"/>
      <color rgb="FFEDEDED"/>
      <name val="Arial"/>
      <family val="2"/>
      <charset val="1"/>
    </font>
    <font>
      <b val="true"/>
      <sz val="9"/>
      <color rgb="FF000000"/>
      <name val="Arial"/>
      <family val="2"/>
      <charset val="1"/>
    </font>
    <font>
      <sz val="11"/>
      <name val="Arial"/>
      <family val="2"/>
      <charset val="1"/>
    </font>
    <font>
      <sz val="11"/>
      <color rgb="FFFF0000"/>
      <name val="Arial"/>
      <family val="2"/>
      <charset val="1"/>
    </font>
    <font>
      <sz val="10"/>
      <color rgb="FF000000"/>
      <name val="Arial"/>
      <family val="2"/>
      <charset val="1"/>
    </font>
    <font>
      <sz val="9"/>
      <color rgb="FF000000"/>
      <name val="Tahoma"/>
      <family val="2"/>
      <charset val="1"/>
    </font>
    <font>
      <sz val="24"/>
      <color rgb="FF000000"/>
      <name val="Arial"/>
      <family val="2"/>
      <charset val="1"/>
    </font>
    <font>
      <sz val="16"/>
      <color rgb="FF000000"/>
      <name val="Arial"/>
      <family val="2"/>
      <charset val="1"/>
    </font>
    <font>
      <b val="true"/>
      <sz val="10"/>
      <color rgb="FF000000"/>
      <name val="Arial"/>
      <family val="2"/>
      <charset val="1"/>
    </font>
    <font>
      <sz val="20"/>
      <color rgb="FF000000"/>
      <name val="Arial"/>
      <family val="2"/>
      <charset val="1"/>
    </font>
    <font>
      <b val="true"/>
      <sz val="14"/>
      <color rgb="FF000000"/>
      <name val="Arial"/>
      <family val="2"/>
      <charset val="1"/>
    </font>
    <font>
      <u val="single"/>
      <sz val="14"/>
      <color rgb="FF000000"/>
      <name val="Arial"/>
      <family val="2"/>
      <charset val="1"/>
    </font>
    <font>
      <sz val="14"/>
      <color rgb="FF000000"/>
      <name val="Calibri"/>
      <family val="2"/>
      <charset val="1"/>
    </font>
    <font>
      <sz val="18"/>
      <color rgb="FF000000"/>
      <name val="Wingdings"/>
      <family val="0"/>
      <charset val="2"/>
    </font>
    <font>
      <sz val="11"/>
      <color rgb="FF000000"/>
      <name val="Lucida Handwriting"/>
      <family val="4"/>
      <charset val="1"/>
    </font>
    <font>
      <sz val="11"/>
      <color rgb="FFFF0000"/>
      <name val="Calibri"/>
      <family val="2"/>
      <charset val="1"/>
    </font>
    <font>
      <b val="true"/>
      <sz val="12"/>
      <color rgb="FF000000"/>
      <name val="Arial"/>
      <family val="2"/>
      <charset val="1"/>
    </font>
    <font>
      <b val="true"/>
      <sz val="14"/>
      <color rgb="FF000000"/>
      <name val="Calibri"/>
      <family val="2"/>
      <charset val="1"/>
    </font>
    <font>
      <b val="true"/>
      <sz val="11"/>
      <color rgb="FF000000"/>
      <name val="Calibri"/>
      <family val="2"/>
      <charset val="1"/>
    </font>
    <font>
      <u val="single"/>
      <sz val="11"/>
      <color rgb="FF0563C1"/>
      <name val="Calibri"/>
      <family val="2"/>
      <charset val="1"/>
    </font>
    <font>
      <b val="true"/>
      <sz val="12"/>
      <color rgb="FF000000"/>
      <name val="Calibri"/>
      <family val="2"/>
      <charset val="1"/>
    </font>
    <font>
      <sz val="12"/>
      <color rgb="FF000000"/>
      <name val="Calibri"/>
      <family val="2"/>
      <charset val="1"/>
    </font>
  </fonts>
  <fills count="5">
    <fill>
      <patternFill patternType="none"/>
    </fill>
    <fill>
      <patternFill patternType="gray125"/>
    </fill>
    <fill>
      <patternFill patternType="solid">
        <fgColor rgb="FFD9D9D9"/>
        <bgColor rgb="FFD0CECE"/>
      </patternFill>
    </fill>
    <fill>
      <patternFill patternType="solid">
        <fgColor rgb="FFF2F2F2"/>
        <bgColor rgb="FFEDEDED"/>
      </patternFill>
    </fill>
    <fill>
      <patternFill patternType="solid">
        <fgColor rgb="FFD0CECE"/>
        <bgColor rgb="FFD9D9D9"/>
      </patternFill>
    </fill>
  </fills>
  <borders count="83">
    <border diagonalUp="false" diagonalDown="false">
      <left/>
      <right/>
      <top/>
      <bottom/>
      <diagonal/>
    </border>
    <border diagonalUp="false" diagonalDown="false">
      <left style="medium"/>
      <right style="thin"/>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medium"/>
      <top/>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top style="thin"/>
      <bottom/>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thin"/>
      <top style="thin"/>
      <bottom style="thin"/>
      <diagonal/>
    </border>
    <border diagonalUp="false" diagonalDown="false">
      <left style="medium"/>
      <right style="medium"/>
      <top style="thin"/>
      <bottom style="thin"/>
      <diagonal/>
    </border>
    <border diagonalUp="false" diagonalDown="false">
      <left/>
      <right/>
      <top style="thin"/>
      <bottom style="thin"/>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thin"/>
      <right style="thin"/>
      <top/>
      <bottom style="thin"/>
      <diagonal/>
    </border>
    <border diagonalUp="false" diagonalDown="false">
      <left style="medium"/>
      <right style="medium"/>
      <top/>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top/>
      <bottom style="medium"/>
      <diagonal/>
    </border>
    <border diagonalUp="false" diagonalDown="false">
      <left/>
      <right/>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thin"/>
      <top style="thin"/>
      <bottom/>
      <diagonal/>
    </border>
    <border diagonalUp="false" diagonalDown="false">
      <left style="medium"/>
      <right style="medium"/>
      <top style="medium"/>
      <bottom style="thick">
        <color rgb="FFFF0000"/>
      </bottom>
      <diagonal/>
    </border>
    <border diagonalUp="false" diagonalDown="false">
      <left style="medium"/>
      <right/>
      <top style="medium"/>
      <bottom style="thick">
        <color rgb="FFFF0000"/>
      </bottom>
      <diagonal/>
    </border>
    <border diagonalUp="false" diagonalDown="false">
      <left style="medium"/>
      <right style="thin"/>
      <top style="medium"/>
      <bottom style="thick">
        <color rgb="FFFF0000"/>
      </bottom>
      <diagonal/>
    </border>
    <border diagonalUp="false" diagonalDown="false">
      <left style="thin"/>
      <right style="thin"/>
      <top style="medium"/>
      <bottom style="thick">
        <color rgb="FFFF0000"/>
      </bottom>
      <diagonal/>
    </border>
    <border diagonalUp="false" diagonalDown="false">
      <left style="thin"/>
      <right/>
      <top style="medium"/>
      <bottom style="thick">
        <color rgb="FFFF0000"/>
      </bottom>
      <diagonal/>
    </border>
    <border diagonalUp="false" diagonalDown="false">
      <left style="thin"/>
      <right style="medium"/>
      <top style="medium"/>
      <bottom style="thick">
        <color rgb="FFFF0000"/>
      </bottom>
      <diagonal/>
    </border>
    <border diagonalUp="false" diagonalDown="false">
      <left/>
      <right style="medium"/>
      <top style="medium"/>
      <bottom style="thick">
        <color rgb="FFFF0000"/>
      </bottom>
      <diagonal/>
    </border>
    <border diagonalUp="false" diagonalDown="false">
      <left style="medium"/>
      <right style="medium"/>
      <top style="thick">
        <color rgb="FFFF0000"/>
      </top>
      <bottom style="thick">
        <color rgb="FFFF0000"/>
      </bottom>
      <diagonal/>
    </border>
    <border diagonalUp="false" diagonalDown="false">
      <left style="medium"/>
      <right/>
      <top style="thick">
        <color rgb="FFFF0000"/>
      </top>
      <bottom style="thick">
        <color rgb="FFFF0000"/>
      </bottom>
      <diagonal/>
    </border>
    <border diagonalUp="false" diagonalDown="false">
      <left style="medium"/>
      <right style="thin"/>
      <top style="thick">
        <color rgb="FFFF0000"/>
      </top>
      <bottom style="thick">
        <color rgb="FFFF0000"/>
      </bottom>
      <diagonal/>
    </border>
    <border diagonalUp="false" diagonalDown="false">
      <left style="thin"/>
      <right style="thin"/>
      <top style="thick">
        <color rgb="FFFF0000"/>
      </top>
      <bottom style="thick">
        <color rgb="FFFF0000"/>
      </bottom>
      <diagonal/>
    </border>
    <border diagonalUp="false" diagonalDown="false">
      <left style="thin"/>
      <right/>
      <top style="thick">
        <color rgb="FFFF0000"/>
      </top>
      <bottom style="thick">
        <color rgb="FFFF0000"/>
      </bottom>
      <diagonal/>
    </border>
    <border diagonalUp="false" diagonalDown="false">
      <left style="thin"/>
      <right style="medium"/>
      <top style="thick">
        <color rgb="FFFF0000"/>
      </top>
      <bottom style="thick">
        <color rgb="FFFF0000"/>
      </bottom>
      <diagonal/>
    </border>
    <border diagonalUp="false" diagonalDown="false">
      <left/>
      <right style="medium"/>
      <top style="thick">
        <color rgb="FFFF0000"/>
      </top>
      <bottom style="thick">
        <color rgb="FFFF0000"/>
      </bottom>
      <diagonal/>
    </border>
    <border diagonalUp="false" diagonalDown="false">
      <left style="medium"/>
      <right/>
      <top/>
      <bottom style="medium"/>
      <diagonal/>
    </border>
    <border diagonalUp="false" diagonalDown="false">
      <left/>
      <right style="thin"/>
      <top style="medium"/>
      <bottom style="medium"/>
      <diagonal/>
    </border>
    <border diagonalUp="false" diagonalDown="false">
      <left/>
      <right style="thin"/>
      <top/>
      <bottom style="medium"/>
      <diagonal/>
    </border>
    <border diagonalUp="false" diagonalDown="false">
      <left/>
      <right/>
      <top style="medium"/>
      <bottom/>
      <diagonal/>
    </border>
    <border diagonalUp="false" diagonalDown="false">
      <left style="medium"/>
      <right style="thin">
        <color rgb="FF808080"/>
      </right>
      <top style="medium"/>
      <bottom style="medium"/>
      <diagonal/>
    </border>
    <border diagonalUp="false" diagonalDown="false">
      <left style="thin">
        <color rgb="FF808080"/>
      </left>
      <right style="thin">
        <color rgb="FF808080"/>
      </right>
      <top style="medium"/>
      <bottom style="medium"/>
      <diagonal/>
    </border>
    <border diagonalUp="false" diagonalDown="false">
      <left style="thin">
        <color rgb="FF808080"/>
      </left>
      <right style="medium"/>
      <top style="medium"/>
      <bottom style="medium"/>
      <diagonal/>
    </border>
    <border diagonalUp="false" diagonalDown="false">
      <left/>
      <right style="thin">
        <color rgb="FF808080"/>
      </right>
      <top/>
      <bottom style="medium"/>
      <diagonal/>
    </border>
    <border diagonalUp="false" diagonalDown="false">
      <left style="thin">
        <color rgb="FF808080"/>
      </left>
      <right/>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808080"/>
      </right>
      <top style="medium"/>
      <bottom/>
      <diagonal/>
    </border>
    <border diagonalUp="false" diagonalDown="false">
      <left style="thin">
        <color rgb="FF808080"/>
      </left>
      <right style="thin">
        <color rgb="FF808080"/>
      </right>
      <top style="medium"/>
      <bottom/>
      <diagonal/>
    </border>
    <border diagonalUp="false" diagonalDown="false">
      <left style="thin">
        <color rgb="FF808080"/>
      </left>
      <right style="medium"/>
      <top style="medium"/>
      <bottom/>
      <diagonal/>
    </border>
    <border diagonalUp="false" diagonalDown="false">
      <left style="thin">
        <color rgb="FF808080"/>
      </left>
      <right/>
      <top style="medium"/>
      <bottom/>
      <diagonal/>
    </border>
    <border diagonalUp="false" diagonalDown="false">
      <left style="medium"/>
      <right style="thin">
        <color rgb="FF808080"/>
      </right>
      <top/>
      <bottom/>
      <diagonal/>
    </border>
    <border diagonalUp="false" diagonalDown="false">
      <left style="thin">
        <color rgb="FF808080"/>
      </left>
      <right style="thin">
        <color rgb="FF808080"/>
      </right>
      <top/>
      <bottom/>
      <diagonal/>
    </border>
    <border diagonalUp="false" diagonalDown="false">
      <left style="thin">
        <color rgb="FF808080"/>
      </left>
      <right style="medium"/>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1" fillId="0" borderId="0" applyFont="true" applyBorder="false" applyAlignment="true" applyProtection="false">
      <alignment horizontal="general" vertical="bottom" textRotation="0" wrapText="false" indent="0" shrinkToFit="false"/>
    </xf>
  </cellStyleXfs>
  <cellXfs count="2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fals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true" applyAlignment="true" applyProtection="true">
      <alignment horizontal="center" vertical="center" textRotation="0" wrapText="false" indent="0" shrinkToFit="false"/>
      <protection locked="fals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6" fontId="6" fillId="3" borderId="2" xfId="0" applyFont="true" applyBorder="true" applyAlignment="true" applyProtection="true">
      <alignment horizontal="center" vertical="center" textRotation="0" wrapText="true" indent="0" shrinkToFit="false"/>
      <protection locked="fals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7" fontId="6" fillId="3" borderId="2" xfId="0" applyFont="true" applyBorder="true" applyAlignment="true" applyProtection="true">
      <alignment horizontal="center" vertical="center" textRotation="0" wrapText="false" indent="0" shrinkToFit="false"/>
      <protection locked="false" hidden="false"/>
    </xf>
    <xf numFmtId="166" fontId="7" fillId="0" borderId="3" xfId="0" applyFont="true" applyBorder="true" applyAlignment="true" applyProtection="false">
      <alignment horizontal="center" vertical="center" textRotation="0" wrapText="true" indent="0" shrinkToFit="false"/>
      <protection locked="true" hidden="false"/>
    </xf>
    <xf numFmtId="167" fontId="6" fillId="3" borderId="3" xfId="0" applyFont="true" applyBorder="true" applyAlignment="true" applyProtection="true">
      <alignment horizontal="center" vertical="center" textRotation="0" wrapText="true" indent="0" shrinkToFit="false"/>
      <protection locked="fals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4" fontId="4" fillId="0" borderId="7" xfId="0" applyFont="true" applyBorder="true" applyAlignment="true" applyProtection="false">
      <alignment horizontal="general" vertical="center" textRotation="0" wrapText="true" indent="0" shrinkToFit="false"/>
      <protection locked="true" hidden="false"/>
    </xf>
    <xf numFmtId="164" fontId="4" fillId="0" borderId="8" xfId="0" applyFont="true" applyBorder="true" applyAlignment="true" applyProtection="false">
      <alignment horizontal="general" vertical="center" textRotation="0" wrapText="tru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4" fillId="0" borderId="10"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center" textRotation="0" wrapText="true" indent="0" shrinkToFit="false"/>
      <protection locked="true" hidden="false"/>
    </xf>
    <xf numFmtId="164" fontId="4" fillId="0" borderId="8" xfId="0" applyFont="true" applyBorder="true" applyAlignment="true" applyProtection="false">
      <alignment horizontal="center" vertical="bottom" textRotation="0" wrapText="true" indent="0" shrinkToFit="false"/>
      <protection locked="true" hidden="false"/>
    </xf>
    <xf numFmtId="164" fontId="4" fillId="0" borderId="9" xfId="0" applyFont="true" applyBorder="true" applyAlignment="true" applyProtection="false">
      <alignment horizontal="center" vertical="bottom" textRotation="0" wrapText="tru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4" fillId="0" borderId="11" xfId="0" applyFont="true" applyBorder="tru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general" vertical="center" textRotation="0" wrapText="tru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4" fontId="4" fillId="0" borderId="13" xfId="0" applyFont="true" applyBorder="true" applyAlignment="true" applyProtection="false">
      <alignment horizontal="general" vertical="center" textRotation="0" wrapText="tru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64" fontId="4" fillId="0" borderId="15" xfId="0" applyFont="true" applyBorder="true" applyAlignment="true" applyProtection="false">
      <alignment horizontal="center" vertical="bottom" textRotation="0" wrapText="false" indent="0" shrinkToFit="false"/>
      <protection locked="true" hidden="false"/>
    </xf>
    <xf numFmtId="164" fontId="4" fillId="0" borderId="16" xfId="0" applyFont="true" applyBorder="true" applyAlignment="true" applyProtection="false">
      <alignment horizontal="center" vertical="bottom" textRotation="0" wrapText="false" indent="0" shrinkToFit="false"/>
      <protection locked="true" hidden="false"/>
    </xf>
    <xf numFmtId="164" fontId="4" fillId="0" borderId="17" xfId="0" applyFont="true" applyBorder="true" applyAlignment="true" applyProtection="false">
      <alignment horizontal="center" vertical="bottom" textRotation="0" wrapText="false" indent="0" shrinkToFit="false"/>
      <protection locked="true" hidden="false"/>
    </xf>
    <xf numFmtId="164" fontId="4" fillId="0" borderId="12"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center" vertical="center" textRotation="0" wrapText="true" indent="0" shrinkToFit="false"/>
      <protection locked="true" hidden="false"/>
    </xf>
    <xf numFmtId="164" fontId="4" fillId="0" borderId="18" xfId="0" applyFont="true" applyBorder="true" applyAlignment="true" applyProtection="false">
      <alignment horizontal="center" vertical="bottom" textRotation="0" wrapText="false" indent="0" shrinkToFit="false"/>
      <protection locked="true" hidden="false"/>
    </xf>
    <xf numFmtId="164" fontId="4" fillId="0"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false">
      <alignment horizontal="center" vertical="bottom" textRotation="0" wrapText="false" indent="0" shrinkToFit="false"/>
      <protection locked="true" hidden="false"/>
    </xf>
    <xf numFmtId="164" fontId="4" fillId="0" borderId="2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22" xfId="0" applyFont="true" applyBorder="true" applyAlignment="true" applyProtection="false">
      <alignment horizontal="center" vertical="bottom" textRotation="0" wrapText="false" indent="0" shrinkToFit="false"/>
      <protection locked="true" hidden="false"/>
    </xf>
    <xf numFmtId="164" fontId="4" fillId="3" borderId="23" xfId="0" applyFont="true" applyBorder="true" applyAlignment="false" applyProtection="true">
      <alignment horizontal="general" vertical="bottom" textRotation="0" wrapText="false" indent="0" shrinkToFit="false"/>
      <protection locked="false" hidden="false"/>
    </xf>
    <xf numFmtId="168" fontId="4" fillId="3" borderId="24" xfId="0" applyFont="true" applyBorder="true" applyAlignment="false" applyProtection="true">
      <alignment horizontal="general" vertical="bottom" textRotation="0" wrapText="false" indent="0" shrinkToFit="false"/>
      <protection locked="false" hidden="false"/>
    </xf>
    <xf numFmtId="164" fontId="4" fillId="3" borderId="25" xfId="0" applyFont="true" applyBorder="true" applyAlignment="true" applyProtection="true">
      <alignment horizontal="center" vertical="bottom" textRotation="0" wrapText="false" indent="0" shrinkToFit="false"/>
      <protection locked="false" hidden="false"/>
    </xf>
    <xf numFmtId="169" fontId="4" fillId="3" borderId="9" xfId="0" applyFont="true" applyBorder="true" applyAlignment="true" applyProtection="true">
      <alignment horizontal="center" vertical="bottom" textRotation="0" wrapText="false" indent="0" shrinkToFit="false"/>
      <protection locked="false" hidden="false"/>
    </xf>
    <xf numFmtId="166" fontId="4" fillId="0" borderId="23" xfId="0" applyFont="true" applyBorder="true" applyAlignment="true" applyProtection="false">
      <alignment horizontal="center" vertical="bottom" textRotation="0" wrapText="false" indent="0" shrinkToFit="false"/>
      <protection locked="true" hidden="false"/>
    </xf>
    <xf numFmtId="166" fontId="4" fillId="0" borderId="24" xfId="0" applyFont="true" applyBorder="true" applyAlignment="true" applyProtection="false">
      <alignment horizontal="center" vertical="bottom" textRotation="0" wrapText="false" indent="0" shrinkToFit="false"/>
      <protection locked="true" hidden="false"/>
    </xf>
    <xf numFmtId="166" fontId="4" fillId="0" borderId="26" xfId="0" applyFont="true" applyBorder="true" applyAlignment="true" applyProtection="false">
      <alignment horizontal="center" vertical="bottom" textRotation="0" wrapText="false" indent="0" shrinkToFit="false"/>
      <protection locked="true" hidden="false"/>
    </xf>
    <xf numFmtId="166" fontId="4" fillId="0" borderId="22" xfId="0" applyFont="true" applyBorder="true" applyAlignment="true" applyProtection="false">
      <alignment horizontal="center" vertical="bottom" textRotation="0" wrapText="false" indent="0" shrinkToFit="false"/>
      <protection locked="true" hidden="false"/>
    </xf>
    <xf numFmtId="166" fontId="4" fillId="0" borderId="25" xfId="0" applyFont="true" applyBorder="true" applyAlignment="true" applyProtection="false">
      <alignment horizontal="center" vertical="bottom" textRotation="0" wrapText="false" indent="0" shrinkToFit="false"/>
      <protection locked="true" hidden="false"/>
    </xf>
    <xf numFmtId="164" fontId="4" fillId="3" borderId="22" xfId="0" applyFont="true" applyBorder="true" applyAlignment="true" applyProtection="true">
      <alignment horizontal="center" vertical="bottom" textRotation="0" wrapText="false" indent="0" shrinkToFit="false"/>
      <protection locked="false" hidden="false"/>
    </xf>
    <xf numFmtId="166" fontId="4" fillId="0" borderId="9" xfId="0" applyFont="true" applyBorder="true" applyAlignment="true" applyProtection="false">
      <alignment horizontal="center" vertical="bottom" textRotation="0" wrapText="false" indent="0" shrinkToFit="false"/>
      <protection locked="true" hidden="false"/>
    </xf>
    <xf numFmtId="170" fontId="4" fillId="0" borderId="9" xfId="0" applyFont="true" applyBorder="true" applyAlignment="true" applyProtection="false">
      <alignment horizontal="center" vertical="bottom" textRotation="0" wrapText="false" indent="0" shrinkToFit="false"/>
      <protection locked="true" hidden="false"/>
    </xf>
    <xf numFmtId="164" fontId="4" fillId="3" borderId="27" xfId="0" applyFont="true" applyBorder="true" applyAlignment="true" applyProtection="true">
      <alignment horizontal="center" vertical="center" textRotation="0" wrapText="false" indent="0" shrinkToFit="false"/>
      <protection locked="false" hidden="false"/>
    </xf>
    <xf numFmtId="168" fontId="10" fillId="3" borderId="9" xfId="0" applyFont="true" applyBorder="true" applyAlignment="true" applyProtection="true">
      <alignment horizontal="center" vertical="bottom" textRotation="0" wrapText="false" indent="0" shrinkToFit="false"/>
      <protection locked="fals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71" fontId="12" fillId="3" borderId="24" xfId="0" applyFont="true" applyBorder="true" applyAlignment="true" applyProtection="true">
      <alignment horizontal="center" vertical="center" textRotation="0" wrapText="false" indent="0" shrinkToFit="false"/>
      <protection locked="false" hidden="false"/>
    </xf>
    <xf numFmtId="170" fontId="12" fillId="3" borderId="24" xfId="0" applyFont="true" applyBorder="true" applyAlignment="true" applyProtection="true">
      <alignment horizontal="center" vertical="center" textRotation="0" wrapText="false" indent="0" shrinkToFit="false"/>
      <protection locked="fals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64" fontId="4" fillId="3" borderId="28" xfId="0" applyFont="true" applyBorder="true" applyAlignment="false" applyProtection="true">
      <alignment horizontal="general" vertical="bottom" textRotation="0" wrapText="false" indent="0" shrinkToFit="false"/>
      <protection locked="false" hidden="false"/>
    </xf>
    <xf numFmtId="168" fontId="4" fillId="3" borderId="15" xfId="0" applyFont="true" applyBorder="true" applyAlignment="false" applyProtection="true">
      <alignment horizontal="general" vertical="bottom" textRotation="0" wrapText="false" indent="0" shrinkToFit="false"/>
      <protection locked="false" hidden="false"/>
    </xf>
    <xf numFmtId="164" fontId="4" fillId="3" borderId="16" xfId="0" applyFont="true" applyBorder="true" applyAlignment="true" applyProtection="true">
      <alignment horizontal="center" vertical="bottom" textRotation="0" wrapText="false" indent="0" shrinkToFit="false"/>
      <protection locked="false" hidden="false"/>
    </xf>
    <xf numFmtId="169" fontId="4" fillId="3" borderId="29" xfId="0" applyFont="true" applyBorder="true" applyAlignment="true" applyProtection="true">
      <alignment horizontal="center" vertical="bottom" textRotation="0" wrapText="false" indent="0" shrinkToFit="false"/>
      <protection locked="false" hidden="false"/>
    </xf>
    <xf numFmtId="166" fontId="4" fillId="0" borderId="28" xfId="0" applyFont="true" applyBorder="true" applyAlignment="true" applyProtection="false">
      <alignment horizontal="center" vertical="bottom" textRotation="0" wrapText="false" indent="0" shrinkToFit="false"/>
      <protection locked="true" hidden="false"/>
    </xf>
    <xf numFmtId="166" fontId="4" fillId="0" borderId="15" xfId="0" applyFont="true" applyBorder="true" applyAlignment="true" applyProtection="false">
      <alignment horizontal="center" vertical="bottom" textRotation="0" wrapText="false" indent="0" shrinkToFit="false"/>
      <protection locked="true" hidden="false"/>
    </xf>
    <xf numFmtId="166" fontId="4" fillId="0" borderId="17" xfId="0" applyFont="true" applyBorder="true" applyAlignment="true" applyProtection="false">
      <alignment horizontal="center" vertical="bottom" textRotation="0" wrapText="false" indent="0" shrinkToFit="false"/>
      <protection locked="true" hidden="false"/>
    </xf>
    <xf numFmtId="166" fontId="4" fillId="0" borderId="14" xfId="0" applyFont="true" applyBorder="true" applyAlignment="true" applyProtection="false">
      <alignment horizontal="center" vertical="bottom" textRotation="0" wrapText="false" indent="0" shrinkToFit="false"/>
      <protection locked="true" hidden="false"/>
    </xf>
    <xf numFmtId="166" fontId="4" fillId="0" borderId="16" xfId="0" applyFont="true" applyBorder="true" applyAlignment="true" applyProtection="false">
      <alignment horizontal="center" vertical="bottom" textRotation="0" wrapText="false" indent="0" shrinkToFit="false"/>
      <protection locked="true" hidden="false"/>
    </xf>
    <xf numFmtId="164" fontId="4" fillId="3" borderId="14" xfId="0" applyFont="true" applyBorder="true" applyAlignment="true" applyProtection="true">
      <alignment horizontal="center" vertical="bottom" textRotation="0" wrapText="false" indent="0" shrinkToFit="false"/>
      <protection locked="false" hidden="false"/>
    </xf>
    <xf numFmtId="166" fontId="4" fillId="0" borderId="29" xfId="0" applyFont="true" applyBorder="true" applyAlignment="true" applyProtection="false">
      <alignment horizontal="center" vertical="bottom" textRotation="0" wrapText="false" indent="0" shrinkToFit="false"/>
      <protection locked="true" hidden="false"/>
    </xf>
    <xf numFmtId="170" fontId="4" fillId="0" borderId="29" xfId="0" applyFont="true" applyBorder="true" applyAlignment="true" applyProtection="false">
      <alignment horizontal="center" vertical="bottom" textRotation="0" wrapText="false" indent="0" shrinkToFit="false"/>
      <protection locked="true" hidden="false"/>
    </xf>
    <xf numFmtId="164" fontId="4" fillId="3" borderId="30" xfId="0" applyFont="true" applyBorder="true" applyAlignment="true" applyProtection="true">
      <alignment horizontal="center" vertical="center" textRotation="0" wrapText="false" indent="0" shrinkToFit="false"/>
      <protection locked="false" hidden="false"/>
    </xf>
    <xf numFmtId="168" fontId="10" fillId="3" borderId="29" xfId="0" applyFont="true" applyBorder="true" applyAlignment="true" applyProtection="true">
      <alignment horizontal="center" vertical="bottom" textRotation="0" wrapText="false" indent="0" shrinkToFit="false"/>
      <protection locked="false" hidden="false"/>
    </xf>
    <xf numFmtId="170" fontId="12" fillId="3" borderId="15" xfId="0" applyFont="true" applyBorder="true" applyAlignment="true" applyProtection="true">
      <alignment horizontal="center" vertical="center" textRotation="0" wrapText="false" indent="0" shrinkToFit="false"/>
      <protection locked="fals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4" fillId="0" borderId="31" xfId="0" applyFont="true" applyBorder="true" applyAlignment="true" applyProtection="false">
      <alignment horizontal="center" vertical="bottom" textRotation="0" wrapText="false" indent="0" shrinkToFit="false"/>
      <protection locked="true" hidden="false"/>
    </xf>
    <xf numFmtId="164" fontId="4" fillId="3" borderId="32" xfId="0" applyFont="true" applyBorder="true" applyAlignment="false" applyProtection="true">
      <alignment horizontal="general" vertical="bottom" textRotation="0" wrapText="false" indent="0" shrinkToFit="false"/>
      <protection locked="false" hidden="false"/>
    </xf>
    <xf numFmtId="168" fontId="4" fillId="3" borderId="33" xfId="0" applyFont="true" applyBorder="true" applyAlignment="false" applyProtection="true">
      <alignment horizontal="general" vertical="bottom" textRotation="0" wrapText="false" indent="0" shrinkToFit="false"/>
      <protection locked="false" hidden="false"/>
    </xf>
    <xf numFmtId="164" fontId="4" fillId="3" borderId="34" xfId="0" applyFont="true" applyBorder="true" applyAlignment="true" applyProtection="true">
      <alignment horizontal="center" vertical="bottom" textRotation="0" wrapText="false" indent="0" shrinkToFit="false"/>
      <protection locked="false" hidden="false"/>
    </xf>
    <xf numFmtId="169" fontId="4" fillId="3" borderId="35" xfId="0" applyFont="true" applyBorder="true" applyAlignment="true" applyProtection="true">
      <alignment horizontal="center" vertical="bottom" textRotation="0" wrapText="false" indent="0" shrinkToFit="false"/>
      <protection locked="false" hidden="false"/>
    </xf>
    <xf numFmtId="166" fontId="4" fillId="0" borderId="32" xfId="0" applyFont="true" applyBorder="true" applyAlignment="true" applyProtection="false">
      <alignment horizontal="center" vertical="bottom" textRotation="0" wrapText="false" indent="0" shrinkToFit="false"/>
      <protection locked="true" hidden="false"/>
    </xf>
    <xf numFmtId="166" fontId="4" fillId="0" borderId="33" xfId="0" applyFont="true" applyBorder="true" applyAlignment="true" applyProtection="false">
      <alignment horizontal="center" vertical="bottom" textRotation="0" wrapText="false" indent="0" shrinkToFit="false"/>
      <protection locked="true" hidden="false"/>
    </xf>
    <xf numFmtId="166" fontId="4" fillId="0" borderId="36" xfId="0" applyFont="true" applyBorder="true" applyAlignment="true" applyProtection="false">
      <alignment horizontal="center" vertical="bottom" textRotation="0" wrapText="false" indent="0" shrinkToFit="false"/>
      <protection locked="true" hidden="false"/>
    </xf>
    <xf numFmtId="166" fontId="4" fillId="0" borderId="31" xfId="0" applyFont="true" applyBorder="true" applyAlignment="true" applyProtection="false">
      <alignment horizontal="center" vertical="bottom" textRotation="0" wrapText="false" indent="0" shrinkToFit="false"/>
      <protection locked="true" hidden="false"/>
    </xf>
    <xf numFmtId="166" fontId="4" fillId="0" borderId="34" xfId="0" applyFont="true" applyBorder="true" applyAlignment="true" applyProtection="false">
      <alignment horizontal="center" vertical="bottom" textRotation="0" wrapText="false" indent="0" shrinkToFit="false"/>
      <protection locked="true" hidden="false"/>
    </xf>
    <xf numFmtId="164" fontId="4" fillId="3" borderId="31" xfId="0" applyFont="true" applyBorder="true" applyAlignment="true" applyProtection="true">
      <alignment horizontal="center" vertical="bottom" textRotation="0" wrapText="false" indent="0" shrinkToFit="false"/>
      <protection locked="false" hidden="false"/>
    </xf>
    <xf numFmtId="166" fontId="4" fillId="0" borderId="35" xfId="0" applyFont="true" applyBorder="true" applyAlignment="true" applyProtection="false">
      <alignment horizontal="center" vertical="bottom" textRotation="0" wrapText="false" indent="0" shrinkToFit="false"/>
      <protection locked="true" hidden="false"/>
    </xf>
    <xf numFmtId="170" fontId="4" fillId="0" borderId="35" xfId="0" applyFont="true" applyBorder="true" applyAlignment="true" applyProtection="false">
      <alignment horizontal="center" vertical="bottom" textRotation="0" wrapText="false" indent="0" shrinkToFit="false"/>
      <protection locked="true" hidden="false"/>
    </xf>
    <xf numFmtId="164" fontId="4" fillId="3" borderId="37" xfId="0" applyFont="true" applyBorder="true" applyAlignment="true" applyProtection="true">
      <alignment horizontal="center" vertical="center" textRotation="0" wrapText="false" indent="0" shrinkToFit="false"/>
      <protection locked="false" hidden="false"/>
    </xf>
    <xf numFmtId="168" fontId="10" fillId="3" borderId="35" xfId="0" applyFont="true" applyBorder="true" applyAlignment="true" applyProtection="true">
      <alignment horizontal="center" vertical="bottom" textRotation="0" wrapText="false" indent="0" shrinkToFit="false"/>
      <protection locked="false" hidden="false"/>
    </xf>
    <xf numFmtId="170" fontId="12" fillId="3" borderId="33" xfId="0" applyFont="true" applyBorder="true" applyAlignment="true" applyProtection="true">
      <alignment horizontal="center" vertical="center" textRotation="0" wrapText="false" indent="0" shrinkToFit="false"/>
      <protection locked="false" hidden="false"/>
    </xf>
    <xf numFmtId="170" fontId="12" fillId="3" borderId="38" xfId="0" applyFont="true" applyBorder="true" applyAlignment="true" applyProtection="true">
      <alignment horizontal="center" vertical="center" textRotation="0" wrapText="false" indent="0" shrinkToFit="false"/>
      <protection locked="false" hidden="false"/>
    </xf>
    <xf numFmtId="164" fontId="4" fillId="0" borderId="35" xfId="0" applyFont="true" applyBorder="true" applyAlignment="true" applyProtection="false">
      <alignment horizontal="center" vertical="bottom" textRotation="0" wrapText="false" indent="0" shrinkToFit="false"/>
      <protection locked="true" hidden="false"/>
    </xf>
    <xf numFmtId="164" fontId="13" fillId="0" borderId="39" xfId="0" applyFont="true" applyBorder="true" applyAlignment="true" applyProtection="false">
      <alignment horizontal="right" vertical="center"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73" fontId="10" fillId="0" borderId="40" xfId="0" applyFont="true" applyBorder="true" applyAlignment="true" applyProtection="false">
      <alignment horizontal="center" vertical="center" textRotation="0" wrapText="false" indent="0" shrinkToFit="false"/>
      <protection locked="true" hidden="false"/>
    </xf>
    <xf numFmtId="173" fontId="10" fillId="0" borderId="41" xfId="0" applyFont="true" applyBorder="true" applyAlignment="true" applyProtection="false">
      <alignment horizontal="center" vertical="center" textRotation="0" wrapText="false" indent="0" shrinkToFit="false"/>
      <protection locked="true" hidden="false"/>
    </xf>
    <xf numFmtId="173" fontId="10" fillId="0" borderId="42" xfId="0" applyFont="true" applyBorder="true" applyAlignment="true" applyProtection="false">
      <alignment horizontal="center" vertical="center" textRotation="0" wrapText="false" indent="0" shrinkToFit="false"/>
      <protection locked="true" hidden="false"/>
    </xf>
    <xf numFmtId="173" fontId="10" fillId="0" borderId="0" xfId="0" applyFont="true" applyBorder="false" applyAlignment="true" applyProtection="false">
      <alignment horizontal="center" vertical="center" textRotation="0" wrapText="false" indent="0" shrinkToFit="false"/>
      <protection locked="true" hidden="false"/>
    </xf>
    <xf numFmtId="173" fontId="10" fillId="0" borderId="3" xfId="0" applyFont="true" applyBorder="true" applyAlignment="true" applyProtection="false">
      <alignment horizontal="center" vertical="center" textRotation="0" wrapText="false" indent="0" shrinkToFit="false"/>
      <protection locked="true" hidden="false"/>
    </xf>
    <xf numFmtId="166" fontId="4" fillId="0" borderId="43" xfId="0" applyFont="true" applyBorder="true" applyAlignment="true" applyProtection="false">
      <alignment horizontal="center" vertical="center" textRotation="0" wrapText="false" indent="0" shrinkToFit="false"/>
      <protection locked="true" hidden="false"/>
    </xf>
    <xf numFmtId="166" fontId="14" fillId="0" borderId="44" xfId="0" applyFont="true" applyBorder="true" applyAlignment="true" applyProtection="false">
      <alignment horizontal="center" vertical="center" textRotation="0" wrapText="false" indent="0" shrinkToFit="false"/>
      <protection locked="true" hidden="false"/>
    </xf>
    <xf numFmtId="166" fontId="4" fillId="0" borderId="45"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4" fillId="0" borderId="43" xfId="0" applyFont="true" applyBorder="true" applyAlignment="true" applyProtection="false">
      <alignment horizontal="center" vertical="center" textRotation="0" wrapText="false" indent="0" shrinkToFit="false"/>
      <protection locked="true" hidden="false"/>
    </xf>
    <xf numFmtId="164" fontId="4" fillId="0" borderId="44" xfId="0" applyFont="true" applyBorder="true" applyAlignment="true" applyProtection="false">
      <alignment horizontal="center" vertical="center" textRotation="0" wrapText="false" indent="0" shrinkToFit="false"/>
      <protection locked="true" hidden="false"/>
    </xf>
    <xf numFmtId="170" fontId="4" fillId="0" borderId="46" xfId="0" applyFont="true" applyBorder="true" applyAlignment="true" applyProtection="false">
      <alignment horizontal="center" vertical="center" textRotation="0" wrapText="false" indent="0" shrinkToFit="false"/>
      <protection locked="true" hidden="false"/>
    </xf>
    <xf numFmtId="170" fontId="4" fillId="0" borderId="45" xfId="0" applyFont="true" applyBorder="true" applyAlignment="true" applyProtection="false">
      <alignment horizontal="center" vertical="center" textRotation="0" wrapText="false" indent="0" shrinkToFit="false"/>
      <protection locked="true" hidden="false"/>
    </xf>
    <xf numFmtId="170" fontId="4" fillId="0" borderId="39" xfId="0" applyFont="true" applyBorder="true" applyAlignment="true" applyProtection="false">
      <alignment horizontal="center" vertical="center" textRotation="0" wrapText="false" indent="0" shrinkToFit="false"/>
      <protection locked="true" hidden="false"/>
    </xf>
    <xf numFmtId="170" fontId="4" fillId="0" borderId="1" xfId="0" applyFont="true" applyBorder="true" applyAlignment="true" applyProtection="false">
      <alignment horizontal="center" vertical="center" textRotation="0" wrapText="false" indent="0" shrinkToFit="false"/>
      <protection locked="true" hidden="false"/>
    </xf>
    <xf numFmtId="170" fontId="14" fillId="0" borderId="40" xfId="0" applyFont="true" applyBorder="true" applyAlignment="true" applyProtection="false">
      <alignment horizontal="center" vertical="center" textRotation="0" wrapText="false" indent="0" shrinkToFit="false"/>
      <protection locked="true" hidden="false"/>
    </xf>
    <xf numFmtId="170" fontId="4" fillId="0" borderId="42"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5" fillId="0" borderId="47"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48"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center" vertical="center" textRotation="0" wrapText="false" indent="0" shrinkToFit="false"/>
      <protection locked="true" hidden="false"/>
    </xf>
    <xf numFmtId="164" fontId="5" fillId="0" borderId="43" xfId="0" applyFont="true" applyBorder="true" applyAlignment="true" applyProtection="false">
      <alignment horizontal="center" vertical="center" textRotation="0" wrapText="false" indent="0" shrinkToFit="false"/>
      <protection locked="true" hidden="false"/>
    </xf>
    <xf numFmtId="164" fontId="5" fillId="0" borderId="45" xfId="0" applyFont="true" applyBorder="true" applyAlignment="true" applyProtection="false">
      <alignment horizontal="center" vertical="center" textRotation="0" wrapText="false" indent="0" shrinkToFit="false"/>
      <protection locked="true" hidden="false"/>
    </xf>
    <xf numFmtId="174" fontId="16" fillId="0" borderId="48"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6" fontId="16" fillId="0" borderId="42"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6" fillId="0" borderId="42" xfId="0" applyFont="true" applyBorder="true" applyAlignment="true" applyProtection="false">
      <alignment horizontal="center" vertical="center" textRotation="0" wrapText="false" indent="0" shrinkToFit="false"/>
      <protection locked="true" hidden="false"/>
    </xf>
    <xf numFmtId="170" fontId="16" fillId="0" borderId="48" xfId="0" applyFont="true" applyBorder="true" applyAlignment="true" applyProtection="false">
      <alignment horizontal="center" vertical="center" textRotation="0" wrapText="false" indent="0" shrinkToFit="false"/>
      <protection locked="true" hidden="false"/>
    </xf>
    <xf numFmtId="170" fontId="16" fillId="0" borderId="3"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right"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right" vertical="center" textRotation="0" wrapText="false" indent="0" shrinkToFit="false"/>
      <protection locked="true" hidden="false"/>
    </xf>
    <xf numFmtId="170" fontId="23"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5" fontId="23" fillId="0" borderId="0" xfId="0" applyFont="true" applyBorder="true" applyAlignment="true" applyProtection="false">
      <alignment horizontal="left" vertical="center" textRotation="0" wrapText="false" indent="1" shrinkToFit="false"/>
      <protection locked="true" hidden="false"/>
    </xf>
    <xf numFmtId="175" fontId="23"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0" fillId="4" borderId="3" xfId="0" applyFont="true" applyBorder="true" applyAlignment="true" applyProtection="false">
      <alignment horizontal="center" vertical="center" textRotation="0" wrapText="true" indent="0" shrinkToFit="false"/>
      <protection locked="true" hidden="false"/>
    </xf>
    <xf numFmtId="164" fontId="20" fillId="4" borderId="3" xfId="0" applyFont="true" applyBorder="true" applyAlignment="true" applyProtection="false">
      <alignment horizontal="center" vertical="center" textRotation="0" wrapText="false" indent="0" shrinkToFit="false"/>
      <protection locked="true" hidden="false"/>
    </xf>
    <xf numFmtId="164" fontId="20" fillId="4" borderId="49" xfId="0" applyFont="true" applyBorder="true" applyAlignment="true" applyProtection="false">
      <alignment horizontal="center" vertical="center" textRotation="0" wrapText="true" indent="0" shrinkToFit="false"/>
      <protection locked="true" hidden="false"/>
    </xf>
    <xf numFmtId="164" fontId="20" fillId="4" borderId="27" xfId="0" applyFont="true" applyBorder="true" applyAlignment="true" applyProtection="false">
      <alignment horizontal="center" vertical="center" textRotation="0" wrapText="false" indent="0" shrinkToFit="false"/>
      <protection locked="true" hidden="false"/>
    </xf>
    <xf numFmtId="164" fontId="20" fillId="4" borderId="9" xfId="0" applyFont="true" applyBorder="true" applyAlignment="true" applyProtection="false">
      <alignment horizontal="center" vertical="center" textRotation="0" wrapText="false" indent="0" shrinkToFit="false"/>
      <protection locked="true" hidden="false"/>
    </xf>
    <xf numFmtId="164" fontId="20" fillId="4" borderId="10" xfId="0" applyFont="true" applyBorder="true" applyAlignment="true" applyProtection="false">
      <alignment horizontal="center" vertical="center" textRotation="0" wrapText="false" indent="0" shrinkToFit="false"/>
      <protection locked="true" hidden="false"/>
    </xf>
    <xf numFmtId="164" fontId="20" fillId="4" borderId="8" xfId="0" applyFont="true" applyBorder="true" applyAlignment="true" applyProtection="false">
      <alignment horizontal="center" vertical="center" textRotation="0" wrapText="true" indent="0" shrinkToFit="false"/>
      <protection locked="true" hidden="false"/>
    </xf>
    <xf numFmtId="164" fontId="20" fillId="4" borderId="27" xfId="0" applyFont="true" applyBorder="true" applyAlignment="true" applyProtection="false">
      <alignment horizontal="center" vertical="center" textRotation="0" wrapText="true" indent="0" shrinkToFit="false"/>
      <protection locked="true" hidden="false"/>
    </xf>
    <xf numFmtId="164" fontId="20" fillId="4" borderId="2" xfId="0" applyFont="true" applyBorder="true" applyAlignment="true" applyProtection="false">
      <alignment horizontal="center" vertical="center" textRotation="0" wrapText="true" indent="0" shrinkToFit="false"/>
      <protection locked="true" hidden="false"/>
    </xf>
    <xf numFmtId="164" fontId="20" fillId="4" borderId="28" xfId="0" applyFont="true" applyBorder="true" applyAlignment="true" applyProtection="false">
      <alignment horizontal="center" vertical="center" textRotation="0" wrapText="false" indent="0" shrinkToFit="false"/>
      <protection locked="true" hidden="false"/>
    </xf>
    <xf numFmtId="164" fontId="20" fillId="4" borderId="15" xfId="0" applyFont="true" applyBorder="true" applyAlignment="true" applyProtection="false">
      <alignment horizontal="center" vertical="center" textRotation="0" wrapText="false" indent="0" shrinkToFit="false"/>
      <protection locked="true" hidden="false"/>
    </xf>
    <xf numFmtId="164" fontId="20" fillId="4" borderId="17" xfId="0" applyFont="true" applyBorder="true" applyAlignment="true" applyProtection="false">
      <alignment horizontal="center" vertical="center" textRotation="0" wrapText="false" indent="0" shrinkToFit="false"/>
      <protection locked="true" hidden="false"/>
    </xf>
    <xf numFmtId="164" fontId="20" fillId="4" borderId="14" xfId="0" applyFont="true" applyBorder="true" applyAlignment="true" applyProtection="false">
      <alignment horizontal="center" vertical="center" textRotation="0" wrapText="false" indent="0" shrinkToFit="false"/>
      <protection locked="true" hidden="false"/>
    </xf>
    <xf numFmtId="164" fontId="20" fillId="4" borderId="16" xfId="0" applyFont="true" applyBorder="true" applyAlignment="true" applyProtection="false">
      <alignment horizontal="center" vertical="center" textRotation="0" wrapText="false" indent="0" shrinkToFit="false"/>
      <protection locked="true" hidden="false"/>
    </xf>
    <xf numFmtId="164" fontId="20" fillId="4" borderId="50" xfId="0" applyFont="true" applyBorder="true" applyAlignment="true" applyProtection="false">
      <alignment horizontal="center" vertical="center" textRotation="0" wrapText="false" indent="0" shrinkToFit="false"/>
      <protection locked="true" hidden="false"/>
    </xf>
    <xf numFmtId="164" fontId="20" fillId="4" borderId="19" xfId="0" applyFont="true" applyBorder="true" applyAlignment="true" applyProtection="false">
      <alignment horizontal="center" vertical="center" textRotation="0" wrapText="false" indent="0" shrinkToFit="false"/>
      <protection locked="true" hidden="false"/>
    </xf>
    <xf numFmtId="164" fontId="20" fillId="4" borderId="21" xfId="0" applyFont="true" applyBorder="true" applyAlignment="true" applyProtection="false">
      <alignment horizontal="center" vertical="center" textRotation="0" wrapText="false" indent="0" shrinkToFit="false"/>
      <protection locked="true" hidden="false"/>
    </xf>
    <xf numFmtId="164" fontId="20" fillId="4" borderId="18" xfId="0" applyFont="true" applyBorder="true" applyAlignment="true" applyProtection="false">
      <alignment horizontal="center" vertical="center" textRotation="0" wrapText="false" indent="0" shrinkToFit="false"/>
      <protection locked="true" hidden="false"/>
    </xf>
    <xf numFmtId="164" fontId="20" fillId="4" borderId="20" xfId="0" applyFont="true" applyBorder="true" applyAlignment="true" applyProtection="false">
      <alignment horizontal="center" vertical="center" textRotation="0" wrapText="false" indent="0" shrinkToFit="false"/>
      <protection locked="true" hidden="false"/>
    </xf>
    <xf numFmtId="164" fontId="20" fillId="4" borderId="51" xfId="0" applyFont="true" applyBorder="true" applyAlignment="true" applyProtection="false">
      <alignment horizontal="center" vertical="center" textRotation="0" wrapText="false" indent="0" shrinkToFit="false"/>
      <protection locked="true" hidden="false"/>
    </xf>
    <xf numFmtId="170" fontId="4" fillId="0" borderId="51" xfId="0" applyFont="true" applyBorder="true" applyAlignment="true" applyProtection="false">
      <alignment horizontal="left" vertical="center" textRotation="0" wrapText="false" indent="0" shrinkToFit="false"/>
      <protection locked="true" hidden="false"/>
    </xf>
    <xf numFmtId="170" fontId="4" fillId="0" borderId="51" xfId="0" applyFont="true" applyBorder="true" applyAlignment="true" applyProtection="false">
      <alignment horizontal="center" vertical="center" textRotation="0" wrapText="false" indent="0" shrinkToFit="false"/>
      <protection locked="true" hidden="false"/>
    </xf>
    <xf numFmtId="173" fontId="4" fillId="0" borderId="52" xfId="0" applyFont="true" applyBorder="true" applyAlignment="true" applyProtection="false">
      <alignment horizontal="center" vertical="center" textRotation="0" wrapText="false" indent="0" shrinkToFit="false"/>
      <protection locked="true" hidden="false"/>
    </xf>
    <xf numFmtId="166" fontId="4" fillId="0" borderId="53" xfId="0" applyFont="true" applyBorder="true" applyAlignment="true" applyProtection="false">
      <alignment horizontal="center" vertical="center" textRotation="0" wrapText="false" indent="0" shrinkToFit="false"/>
      <protection locked="true" hidden="false"/>
    </xf>
    <xf numFmtId="166" fontId="4" fillId="0" borderId="54" xfId="0" applyFont="true" applyBorder="true" applyAlignment="true" applyProtection="false">
      <alignment horizontal="center" vertical="center" textRotation="0" wrapText="false" indent="0" shrinkToFit="false"/>
      <protection locked="true" hidden="false"/>
    </xf>
    <xf numFmtId="166" fontId="4" fillId="0" borderId="55" xfId="0" applyFont="true" applyBorder="true" applyAlignment="true" applyProtection="false">
      <alignment horizontal="center" vertical="center" textRotation="0" wrapText="false" indent="0" shrinkToFit="false"/>
      <protection locked="true" hidden="false"/>
    </xf>
    <xf numFmtId="170" fontId="25" fillId="0" borderId="53" xfId="0" applyFont="true" applyBorder="true" applyAlignment="true" applyProtection="false">
      <alignment horizontal="center" vertical="center" textRotation="0" wrapText="false" indent="0" shrinkToFit="false"/>
      <protection locked="true" hidden="false"/>
    </xf>
    <xf numFmtId="170" fontId="25" fillId="0" borderId="56" xfId="0" applyFont="true" applyBorder="true" applyAlignment="true" applyProtection="false">
      <alignment horizontal="center" vertical="center" textRotation="0" wrapText="false" indent="0" shrinkToFit="false"/>
      <protection locked="true" hidden="false"/>
    </xf>
    <xf numFmtId="166" fontId="4" fillId="0" borderId="52" xfId="0" applyFont="true" applyBorder="true" applyAlignment="true" applyProtection="false">
      <alignment horizontal="center" vertical="center" textRotation="0" wrapText="false" indent="0" shrinkToFit="false"/>
      <protection locked="true" hidden="false"/>
    </xf>
    <xf numFmtId="166" fontId="4" fillId="0" borderId="56" xfId="0" applyFont="true" applyBorder="true" applyAlignment="true" applyProtection="false">
      <alignment horizontal="center" vertical="center" textRotation="0" wrapText="false" indent="0" shrinkToFit="false"/>
      <protection locked="true" hidden="false"/>
    </xf>
    <xf numFmtId="164" fontId="4" fillId="0" borderId="57" xfId="0" applyFont="true" applyBorder="true" applyAlignment="true" applyProtection="false">
      <alignment horizontal="center" vertical="center" textRotation="0" wrapText="false" indent="0" shrinkToFit="false"/>
      <protection locked="true" hidden="false"/>
    </xf>
    <xf numFmtId="170" fontId="25" fillId="0" borderId="51" xfId="0" applyFont="true" applyBorder="true" applyAlignment="true" applyProtection="false">
      <alignment horizontal="center" vertical="center" textRotation="0" wrapText="false" indent="0" shrinkToFit="false"/>
      <protection locked="true" hidden="false"/>
    </xf>
    <xf numFmtId="170" fontId="26" fillId="0" borderId="57" xfId="0" applyFont="true" applyBorder="true" applyAlignment="true" applyProtection="false">
      <alignment horizontal="center" vertical="center" textRotation="0" wrapText="false" indent="0" shrinkToFit="false"/>
      <protection locked="true" hidden="false"/>
    </xf>
    <xf numFmtId="170" fontId="27" fillId="0" borderId="0" xfId="0" applyFont="true" applyBorder="false" applyAlignment="true" applyProtection="false">
      <alignment horizontal="general" vertical="center" textRotation="0" wrapText="false" indent="0" shrinkToFit="false"/>
      <protection locked="true" hidden="false"/>
    </xf>
    <xf numFmtId="164" fontId="20" fillId="4" borderId="58" xfId="0" applyFont="true" applyBorder="true" applyAlignment="true" applyProtection="false">
      <alignment horizontal="center" vertical="center" textRotation="0" wrapText="false" indent="0" shrinkToFit="false"/>
      <protection locked="true" hidden="false"/>
    </xf>
    <xf numFmtId="170" fontId="4" fillId="0" borderId="58" xfId="0" applyFont="true" applyBorder="true" applyAlignment="true" applyProtection="false">
      <alignment horizontal="left" vertical="center" textRotation="0" wrapText="false" indent="0" shrinkToFit="false"/>
      <protection locked="true" hidden="false"/>
    </xf>
    <xf numFmtId="170" fontId="4" fillId="0" borderId="58" xfId="0" applyFont="true" applyBorder="true" applyAlignment="true" applyProtection="false">
      <alignment horizontal="center" vertical="center" textRotation="0" wrapText="false" indent="0" shrinkToFit="false"/>
      <protection locked="true" hidden="false"/>
    </xf>
    <xf numFmtId="173" fontId="4" fillId="0" borderId="59" xfId="0" applyFont="true" applyBorder="true" applyAlignment="true" applyProtection="false">
      <alignment horizontal="center" vertical="center" textRotation="0" wrapText="false" indent="0" shrinkToFit="false"/>
      <protection locked="true" hidden="false"/>
    </xf>
    <xf numFmtId="166" fontId="4" fillId="0" borderId="60" xfId="0" applyFont="true" applyBorder="true" applyAlignment="true" applyProtection="false">
      <alignment horizontal="center" vertical="center" textRotation="0" wrapText="false" indent="0" shrinkToFit="false"/>
      <protection locked="true" hidden="false"/>
    </xf>
    <xf numFmtId="166" fontId="4" fillId="0" borderId="61" xfId="0" applyFont="true" applyBorder="true" applyAlignment="true" applyProtection="false">
      <alignment horizontal="center" vertical="center" textRotation="0" wrapText="false" indent="0" shrinkToFit="false"/>
      <protection locked="true" hidden="false"/>
    </xf>
    <xf numFmtId="166" fontId="4" fillId="0" borderId="62" xfId="0" applyFont="true" applyBorder="true" applyAlignment="true" applyProtection="false">
      <alignment horizontal="center" vertical="center" textRotation="0" wrapText="false" indent="0" shrinkToFit="false"/>
      <protection locked="true" hidden="false"/>
    </xf>
    <xf numFmtId="170" fontId="25" fillId="0" borderId="60" xfId="0" applyFont="true" applyBorder="true" applyAlignment="true" applyProtection="false">
      <alignment horizontal="center" vertical="center" textRotation="0" wrapText="false" indent="0" shrinkToFit="false"/>
      <protection locked="true" hidden="false"/>
    </xf>
    <xf numFmtId="170" fontId="25" fillId="0" borderId="63" xfId="0" applyFont="true" applyBorder="true" applyAlignment="true" applyProtection="false">
      <alignment horizontal="center" vertical="center" textRotation="0" wrapText="false" indent="0" shrinkToFit="false"/>
      <protection locked="true" hidden="false"/>
    </xf>
    <xf numFmtId="166" fontId="4" fillId="0" borderId="59" xfId="0" applyFont="true" applyBorder="true" applyAlignment="true" applyProtection="false">
      <alignment horizontal="center" vertical="center" textRotation="0" wrapText="false" indent="0" shrinkToFit="false"/>
      <protection locked="true" hidden="false"/>
    </xf>
    <xf numFmtId="166" fontId="4" fillId="0" borderId="63" xfId="0" applyFont="true" applyBorder="true" applyAlignment="true" applyProtection="false">
      <alignment horizontal="center" vertical="center" textRotation="0" wrapText="false" indent="0" shrinkToFit="false"/>
      <protection locked="true" hidden="false"/>
    </xf>
    <xf numFmtId="164" fontId="4" fillId="0" borderId="64" xfId="0" applyFont="true" applyBorder="true" applyAlignment="true" applyProtection="false">
      <alignment horizontal="center" vertical="center" textRotation="0" wrapText="false" indent="0" shrinkToFit="false"/>
      <protection locked="true" hidden="false"/>
    </xf>
    <xf numFmtId="170" fontId="25" fillId="0" borderId="58"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20" fillId="4" borderId="65" xfId="0" applyFont="true" applyBorder="true" applyAlignment="true" applyProtection="false">
      <alignment horizontal="left" vertical="center" textRotation="0" wrapText="true" indent="0" shrinkToFit="false"/>
      <protection locked="true" hidden="false"/>
    </xf>
    <xf numFmtId="164" fontId="20" fillId="4" borderId="65" xfId="0" applyFont="true" applyBorder="true" applyAlignment="true" applyProtection="false">
      <alignment horizontal="general" vertical="center" textRotation="0" wrapText="false" indent="0" shrinkToFit="false"/>
      <protection locked="true" hidden="false"/>
    </xf>
    <xf numFmtId="166" fontId="4" fillId="0" borderId="1" xfId="0" applyFont="true" applyBorder="true" applyAlignment="true" applyProtection="false">
      <alignment horizontal="center" vertical="center" textRotation="0" wrapText="false" indent="0" shrinkToFit="false"/>
      <protection locked="true" hidden="false"/>
    </xf>
    <xf numFmtId="166" fontId="4" fillId="0" borderId="40" xfId="0" applyFont="true" applyBorder="true" applyAlignment="true" applyProtection="false">
      <alignment horizontal="center" vertical="center" textRotation="0" wrapText="false" indent="0" shrinkToFit="false"/>
      <protection locked="true" hidden="false"/>
    </xf>
    <xf numFmtId="166" fontId="4" fillId="0" borderId="42" xfId="0" applyFont="true" applyBorder="true" applyAlignment="true" applyProtection="false">
      <alignment horizontal="center" vertical="center" textRotation="0" wrapText="false" indent="0" shrinkToFit="false"/>
      <protection locked="true" hidden="false"/>
    </xf>
    <xf numFmtId="166" fontId="4" fillId="0" borderId="0" xfId="0" applyFont="true" applyBorder="false" applyAlignment="true" applyProtection="false">
      <alignment horizontal="center" vertical="center" textRotation="0" wrapText="false" indent="0" shrinkToFit="false"/>
      <protection locked="true" hidden="false"/>
    </xf>
    <xf numFmtId="166" fontId="4" fillId="0" borderId="3" xfId="0" applyFont="true" applyBorder="true" applyAlignment="true" applyProtection="false">
      <alignment horizontal="center" vertical="center" textRotation="0" wrapText="false" indent="0" shrinkToFit="false"/>
      <protection locked="true" hidden="false"/>
    </xf>
    <xf numFmtId="166" fontId="4" fillId="0" borderId="66" xfId="0" applyFont="true" applyBorder="true" applyAlignment="true" applyProtection="false">
      <alignment horizontal="center" vertical="center" textRotation="0" wrapText="false" indent="0" shrinkToFit="false"/>
      <protection locked="true" hidden="false"/>
    </xf>
    <xf numFmtId="164" fontId="20" fillId="4" borderId="48" xfId="0" applyFont="true" applyBorder="true" applyAlignment="true" applyProtection="false">
      <alignment horizontal="general" vertical="center" textRotation="0" wrapText="false" indent="0" shrinkToFit="false"/>
      <protection locked="true" hidden="false"/>
    </xf>
    <xf numFmtId="170" fontId="4" fillId="0" borderId="44" xfId="0" applyFont="true" applyBorder="true" applyAlignment="true" applyProtection="false">
      <alignment horizontal="center" vertical="center" textRotation="0" wrapText="false" indent="0" shrinkToFit="false"/>
      <protection locked="true" hidden="false"/>
    </xf>
    <xf numFmtId="170" fontId="4" fillId="0" borderId="6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true" applyAlignment="true" applyProtection="false">
      <alignment horizontal="right" vertical="bottom" textRotation="0" wrapText="false" indent="0" shrinkToFit="false"/>
      <protection locked="true" hidden="false"/>
    </xf>
    <xf numFmtId="170" fontId="23" fillId="0"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0" fillId="4" borderId="9" xfId="0" applyFont="true" applyBorder="true" applyAlignment="true" applyProtection="false">
      <alignment horizontal="center" vertical="center" textRotation="0" wrapText="true" indent="0" shrinkToFit="false"/>
      <protection locked="true" hidden="false"/>
    </xf>
    <xf numFmtId="164" fontId="20" fillId="4" borderId="31" xfId="0" applyFont="true" applyBorder="true" applyAlignment="true" applyProtection="false">
      <alignment horizontal="center" vertical="center" textRotation="0" wrapText="false" indent="0" shrinkToFit="false"/>
      <protection locked="true" hidden="false"/>
    </xf>
    <xf numFmtId="164" fontId="20" fillId="4" borderId="33" xfId="0" applyFont="true" applyBorder="true" applyAlignment="true" applyProtection="false">
      <alignment horizontal="center" vertical="center" textRotation="0" wrapText="false" indent="0" shrinkToFit="false"/>
      <protection locked="true" hidden="false"/>
    </xf>
    <xf numFmtId="164" fontId="20" fillId="4" borderId="34" xfId="0" applyFont="true" applyBorder="true" applyAlignment="true" applyProtection="false">
      <alignment horizontal="center" vertical="center" textRotation="0" wrapText="false" indent="0" shrinkToFit="false"/>
      <protection locked="true" hidden="false"/>
    </xf>
    <xf numFmtId="164" fontId="20" fillId="4" borderId="36" xfId="0" applyFont="true" applyBorder="true" applyAlignment="true" applyProtection="false">
      <alignment horizontal="center" vertical="center" textRotation="0" wrapText="false" indent="0" shrinkToFit="false"/>
      <protection locked="true" hidden="false"/>
    </xf>
    <xf numFmtId="164" fontId="20" fillId="0" borderId="68" xfId="0" applyFont="true" applyBorder="true" applyAlignment="true" applyProtection="false">
      <alignment horizontal="center" vertical="center" textRotation="0" wrapText="true" indent="0" shrinkToFit="false"/>
      <protection locked="true" hidden="false"/>
    </xf>
    <xf numFmtId="164" fontId="20" fillId="4" borderId="3" xfId="0" applyFont="true" applyBorder="true" applyAlignment="true" applyProtection="false">
      <alignment horizontal="right" vertical="center" textRotation="0" wrapText="true" indent="0" shrinkToFit="false"/>
      <protection locked="true" hidden="false"/>
    </xf>
    <xf numFmtId="166" fontId="4" fillId="0" borderId="69" xfId="0" applyFont="true" applyBorder="true" applyAlignment="true" applyProtection="false">
      <alignment horizontal="center" vertical="center" textRotation="0" wrapText="false" indent="0" shrinkToFit="false"/>
      <protection locked="true" hidden="false"/>
    </xf>
    <xf numFmtId="166" fontId="4" fillId="0" borderId="70" xfId="0" applyFont="true" applyBorder="true" applyAlignment="true" applyProtection="false">
      <alignment horizontal="center" vertical="center" textRotation="0" wrapText="false" indent="0" shrinkToFit="false"/>
      <protection locked="true" hidden="false"/>
    </xf>
    <xf numFmtId="166" fontId="4" fillId="0" borderId="71" xfId="0" applyFont="true" applyBorder="true" applyAlignment="true" applyProtection="false">
      <alignment horizontal="center" vertical="center" textRotation="0" wrapText="false" indent="0" shrinkToFit="false"/>
      <protection locked="true" hidden="false"/>
    </xf>
    <xf numFmtId="166" fontId="4" fillId="0" borderId="72" xfId="0" applyFont="true" applyBorder="true" applyAlignment="true" applyProtection="false">
      <alignment horizontal="center" vertical="center" textRotation="0" wrapText="false" indent="0" shrinkToFit="false"/>
      <protection locked="true" hidden="false"/>
    </xf>
    <xf numFmtId="166" fontId="4" fillId="0" borderId="73" xfId="0" applyFont="true" applyBorder="true" applyAlignment="true" applyProtection="false">
      <alignment horizontal="center" vertical="center" textRotation="0" wrapText="false" indent="0" shrinkToFit="false"/>
      <protection locked="true" hidden="false"/>
    </xf>
    <xf numFmtId="166" fontId="4" fillId="0" borderId="74" xfId="0" applyFont="true" applyBorder="true" applyAlignment="true" applyProtection="false">
      <alignment horizontal="center" vertical="center" textRotation="0" wrapText="false" indent="0" shrinkToFit="false"/>
      <protection locked="true" hidden="false"/>
    </xf>
    <xf numFmtId="166" fontId="4" fillId="0" borderId="75" xfId="0" applyFont="true" applyBorder="true" applyAlignment="true" applyProtection="false">
      <alignment horizontal="center" vertical="center" textRotation="0" wrapText="false" indent="0" shrinkToFit="false"/>
      <protection locked="true" hidden="false"/>
    </xf>
    <xf numFmtId="166" fontId="4" fillId="0" borderId="47"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0" fillId="4" borderId="8" xfId="0" applyFont="true" applyBorder="true" applyAlignment="true" applyProtection="false">
      <alignment horizontal="right" vertical="center" textRotation="0" wrapText="true" indent="0" shrinkToFit="false"/>
      <protection locked="true" hidden="false"/>
    </xf>
    <xf numFmtId="170" fontId="4" fillId="0" borderId="76" xfId="0" applyFont="true" applyBorder="true" applyAlignment="true" applyProtection="false">
      <alignment horizontal="center" vertical="center" textRotation="0" wrapText="false" indent="0" shrinkToFit="false"/>
      <protection locked="true" hidden="false"/>
    </xf>
    <xf numFmtId="170" fontId="4" fillId="0" borderId="77" xfId="0" applyFont="true" applyBorder="true" applyAlignment="true" applyProtection="false">
      <alignment horizontal="center" vertical="center" textRotation="0" wrapText="false" indent="0" shrinkToFit="false"/>
      <protection locked="true" hidden="false"/>
    </xf>
    <xf numFmtId="170" fontId="4" fillId="0" borderId="78" xfId="0" applyFont="true" applyBorder="true" applyAlignment="true" applyProtection="false">
      <alignment horizontal="center" vertical="center" textRotation="0" wrapText="false" indent="0" shrinkToFit="false"/>
      <protection locked="true" hidden="false"/>
    </xf>
    <xf numFmtId="170" fontId="4" fillId="0" borderId="79" xfId="0" applyFont="true" applyBorder="true" applyAlignment="true" applyProtection="false">
      <alignment horizontal="center" vertical="center" textRotation="0" wrapText="false" indent="0" shrinkToFit="false"/>
      <protection locked="true" hidden="false"/>
    </xf>
    <xf numFmtId="164" fontId="4" fillId="0" borderId="74" xfId="0" applyFont="true" applyBorder="true" applyAlignment="true" applyProtection="false">
      <alignment horizontal="center" vertical="center" textRotation="0" wrapText="false" indent="0" shrinkToFit="false"/>
      <protection locked="true" hidden="false"/>
    </xf>
    <xf numFmtId="164" fontId="4" fillId="0" borderId="75" xfId="0" applyFont="true" applyBorder="true" applyAlignment="true" applyProtection="false">
      <alignment horizontal="center" vertical="center" textRotation="0" wrapText="false" indent="0" shrinkToFit="false"/>
      <protection locked="true" hidden="false"/>
    </xf>
    <xf numFmtId="170" fontId="4" fillId="0" borderId="80" xfId="0" applyFont="true" applyBorder="true" applyAlignment="true" applyProtection="false">
      <alignment horizontal="center" vertical="center" textRotation="0" wrapText="false" indent="0" shrinkToFit="false"/>
      <protection locked="true" hidden="false"/>
    </xf>
    <xf numFmtId="170" fontId="4" fillId="0" borderId="81" xfId="0" applyFont="true" applyBorder="true" applyAlignment="true" applyProtection="false">
      <alignment horizontal="center" vertical="center" textRotation="0" wrapText="false" indent="0" shrinkToFit="false"/>
      <protection locked="true" hidden="false"/>
    </xf>
    <xf numFmtId="170" fontId="4" fillId="0" borderId="82" xfId="0" applyFont="true" applyBorder="true" applyAlignment="true" applyProtection="false">
      <alignment horizontal="center" vertical="center" textRotation="0" wrapText="false" indent="0" shrinkToFit="false"/>
      <protection locked="true" hidden="false"/>
    </xf>
    <xf numFmtId="170" fontId="26" fillId="0" borderId="6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right" vertical="center" textRotation="0" wrapText="true" indent="0" shrinkToFit="false"/>
      <protection locked="true" hidden="false"/>
    </xf>
    <xf numFmtId="166" fontId="4" fillId="0" borderId="44" xfId="0" applyFont="true" applyBorder="true" applyAlignment="true" applyProtection="false">
      <alignment horizontal="center" vertical="center" textRotation="0" wrapText="false" indent="0" shrinkToFit="false"/>
      <protection locked="true" hidden="false"/>
    </xf>
    <xf numFmtId="166" fontId="4" fillId="0" borderId="65"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right" vertical="center" textRotation="0" wrapText="false" indent="0" shrinkToFit="false"/>
      <protection locked="true" hidden="false"/>
    </xf>
    <xf numFmtId="170" fontId="4" fillId="0" borderId="0" xfId="0" applyFont="true" applyBorder="false" applyAlignment="true" applyProtection="false">
      <alignment horizontal="center" vertical="center" textRotation="0" wrapText="false" indent="0" shrinkToFit="false"/>
      <protection locked="true" hidden="false"/>
    </xf>
    <xf numFmtId="170" fontId="4" fillId="0" borderId="65" xfId="0" applyFont="true" applyBorder="true" applyAlignment="true" applyProtection="false">
      <alignment horizontal="center" vertical="center" textRotation="0" wrapText="false" indent="0" shrinkToFit="false"/>
      <protection locked="true" hidden="false"/>
    </xf>
    <xf numFmtId="164" fontId="5" fillId="4" borderId="48" xfId="0" applyFont="true" applyBorder="true" applyAlignment="true" applyProtection="false">
      <alignment horizontal="right" vertical="center" textRotation="0" wrapText="false" indent="0" shrinkToFit="false"/>
      <protection locked="true" hidden="false"/>
    </xf>
    <xf numFmtId="164" fontId="5" fillId="4" borderId="49" xfId="0" applyFont="true" applyBorder="true" applyAlignment="true" applyProtection="false">
      <alignment horizontal="right" vertical="center" textRotation="0" wrapText="false" indent="0" shrinkToFit="false"/>
      <protection locked="true" hidden="false"/>
    </xf>
    <xf numFmtId="170" fontId="4" fillId="0" borderId="3" xfId="0" applyFont="true" applyBorder="true" applyAlignment="true" applyProtection="false">
      <alignment horizontal="center" vertical="center" textRotation="0" wrapText="false" indent="0" shrinkToFit="false"/>
      <protection locked="true" hidden="false"/>
    </xf>
    <xf numFmtId="164" fontId="5" fillId="4" borderId="74" xfId="0" applyFont="true" applyBorder="true" applyAlignment="true" applyProtection="false">
      <alignment horizontal="right" vertical="center" textRotation="0" wrapText="false" indent="0" shrinkToFit="false"/>
      <protection locked="true" hidden="false"/>
    </xf>
    <xf numFmtId="166" fontId="4" fillId="0" borderId="13" xfId="0" applyFont="true" applyBorder="true" applyAlignment="true" applyProtection="false">
      <alignment horizontal="center" vertical="center" textRotation="0" wrapText="false" indent="0" shrinkToFit="false"/>
      <protection locked="true" hidden="false"/>
    </xf>
    <xf numFmtId="164" fontId="5" fillId="4" borderId="0" xfId="0" applyFont="true" applyBorder="true" applyAlignment="true" applyProtection="false">
      <alignment horizontal="right" vertical="center" textRotation="0" wrapText="false" indent="0" shrinkToFit="false"/>
      <protection locked="true" hidden="false"/>
    </xf>
    <xf numFmtId="170" fontId="4" fillId="0" borderId="13"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true" applyAlignment="true" applyProtection="false">
      <alignment horizontal="left" vertical="bottom" textRotation="0" wrapText="false" indent="0" shrinkToFit="false"/>
      <protection locked="true" hidden="false"/>
    </xf>
    <xf numFmtId="164" fontId="29" fillId="0" borderId="0" xfId="0" applyFont="true" applyBorder="tru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20" applyFont="true" applyBorder="true" applyAlignment="true" applyProtection="tru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center" vertical="top" textRotation="0" wrapText="false" indent="0" shrinkToFit="false"/>
      <protection locked="true" hidden="false"/>
    </xf>
    <xf numFmtId="164" fontId="32" fillId="0" borderId="0" xfId="0" applyFont="true" applyBorder="false" applyAlignment="true" applyProtection="false">
      <alignment horizontal="general" vertical="top" textRotation="0" wrapText="false" indent="0" shrinkToFit="false"/>
      <protection locked="true" hidden="false"/>
    </xf>
    <xf numFmtId="164" fontId="33" fillId="0" borderId="0" xfId="0" applyFont="true" applyBorder="false" applyAlignment="true" applyProtection="false">
      <alignment horizontal="general"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30" fillId="0" borderId="0" xfId="0" applyFont="true" applyBorder="false" applyAlignment="true" applyProtection="false">
      <alignment horizontal="general" vertical="bottom" textRotation="0" wrapText="true" indent="0" shrinkToFit="false"/>
      <protection locked="true" hidden="false"/>
    </xf>
    <xf numFmtId="176" fontId="30" fillId="0" borderId="0" xfId="0" applyFont="true" applyBorder="false" applyAlignment="false" applyProtection="false">
      <alignment horizontal="general" vertical="bottom" textRotation="0" wrapText="false" indent="0" shrinkToFit="false"/>
      <protection locked="true" hidden="false"/>
    </xf>
    <xf numFmtId="176" fontId="30" fillId="0" borderId="0" xfId="0" applyFont="true" applyBorder="false" applyAlignment="true" applyProtection="false">
      <alignment horizontal="general" vertical="bottom" textRotation="0" wrapText="true" indent="0" shrinkToFit="false"/>
      <protection locked="true" hidden="false"/>
    </xf>
    <xf numFmtId="167" fontId="30" fillId="0" borderId="0" xfId="0" applyFont="true" applyBorder="false" applyAlignment="true" applyProtection="false">
      <alignment horizontal="general" vertical="bottom" textRotation="0" wrapText="true" indent="0" shrinkToFit="false"/>
      <protection locked="true" hidden="false"/>
    </xf>
    <xf numFmtId="165" fontId="3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3">
    <dxf>
      <fill>
        <patternFill>
          <bgColor rgb="FFFF0000"/>
        </patternFill>
      </fill>
    </dxf>
    <dxf>
      <border diagonalUp="false" diagonalDown="false">
        <left/>
        <right/>
        <top/>
        <bottom style="thin"/>
        <diagonal/>
      </border>
    </dxf>
    <dxf>
      <font>
        <color rgb="FFFFFFFF"/>
      </font>
    </dxf>
    <dxf>
      <font>
        <color rgb="FFFFFFFF"/>
      </font>
    </dxf>
    <dxf>
      <font>
        <color rgb="FFFFFFFF"/>
      </font>
    </dxf>
    <dxf>
      <font>
        <color rgb="FFFFFFFF"/>
      </font>
    </dxf>
    <dxf>
      <font>
        <color rgb="FFFFFFFF"/>
      </font>
    </dxf>
    <dxf>
      <border diagonalUp="false" diagonalDown="false">
        <left/>
        <right/>
        <top/>
        <bottom style="thin"/>
        <diagonal/>
      </border>
    </dxf>
    <dxf>
      <border diagonalUp="false" diagonalDown="false">
        <left/>
        <right/>
        <top/>
        <bottom style="thin"/>
        <diagonal/>
      </border>
    </dxf>
    <dxf>
      <border diagonalUp="false" diagonalDown="false">
        <left/>
        <right/>
        <top/>
        <bottom style="thin"/>
        <diagonal/>
      </border>
    </dxf>
    <dxf>
      <border diagonalUp="false" diagonalDown="false">
        <left/>
        <right/>
        <top/>
        <bottom style="thin"/>
        <diagonal/>
      </border>
    </dxf>
    <dxf>
      <fill>
        <patternFill patternType="solid">
          <fgColor rgb="00FFFFFF"/>
        </patternFill>
      </fill>
    </dxf>
    <dxf>
      <fill>
        <patternFill patternType="solid">
          <fgColor rgb="FFCCCCCC"/>
          <bgColor rgb="FF27272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2F2F2"/>
      <rgbColor rgb="FFEDEDED"/>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ctrlProps/ctrlProps2.xml><?xml version="1.0" encoding="utf-8"?>
<formControlPr xmlns="http://schemas.microsoft.com/office/spreadsheetml/2009/9/main" objectType="CheckBox" autoLine="false" print="true" fmlaLink="FORMATTED!$H$2" lockText="1" noThreeD="1"/>
</file>

<file path=xl/ctrlProps/ctrlProps3.xml><?xml version="1.0" encoding="utf-8"?>
<formControlPr xmlns="http://schemas.microsoft.com/office/spreadsheetml/2009/9/main" objectType="CheckBox" autoLine="false" print="true" fmlaLink="FORMATTED!$H$3" lockText="1" noThreeD="1"/>
</file>

<file path=xl/ctrlProps/ctrlProps4.xml><?xml version="1.0" encoding="utf-8"?>
<formControlPr xmlns="http://schemas.microsoft.com/office/spreadsheetml/2009/9/main" objectType="CheckBox" autoLine="false" print="true" fmlaLink="FORMATTED!$H$4" lockText="1" noThreeD="1"/>
</file>

<file path=xl/ctrlProps/ctrlProps5.xml><?xml version="1.0" encoding="utf-8"?>
<formControlPr xmlns="http://schemas.microsoft.com/office/spreadsheetml/2009/9/main" objectType="CheckBox" autoLine="false" print="true" fmlaLink="FORMATTED!$H$5" lockText="1" noThreeD="1"/>
</file>

<file path=xl/ctrlProps/ctrlProps6.xml><?xml version="1.0" encoding="utf-8"?>
<formControlPr xmlns="http://schemas.microsoft.com/office/spreadsheetml/2009/9/main" objectType="CheckBox" autoLine="false" print="true" fmlaLink="FORMATTED!$H$6" lockText="1" noThreeD="1"/>
</file>

<file path=xl/ctrlProps/ctrlProps7.xml><?xml version="1.0" encoding="utf-8"?>
<formControlPr xmlns="http://schemas.microsoft.com/office/spreadsheetml/2009/9/main" objectType="CheckBox" checked="Checked" autoLine="false" print="true" fmlaLink="FORMATTED!$H$7" lockText="1" noThreeD="1"/>
</file>

<file path=xl/ctrlProps/ctrlProps8.xml><?xml version="1.0" encoding="utf-8"?>
<formControlPr xmlns="http://schemas.microsoft.com/office/spreadsheetml/2009/9/main" objectType="CheckBox" autoLine="false" print="true" fmlaLink="FORMATTED!$H$8" lockText="1" noThreeD="1"/>
</file>

<file path=xl/ctrlProps/ctrlProps9.xml><?xml version="1.0" encoding="utf-8"?>
<formControlPr xmlns="http://schemas.microsoft.com/office/spreadsheetml/2009/9/main" objectType="CheckBox" autoLine="false" print="true" fmlaLink="FORMATTED!$H$9" lockText="1" noThreeD="1"/>
</file>

<file path=xl/ctrlProps/ctrlProps10.xml><?xml version="1.0" encoding="utf-8"?>
<formControlPr xmlns="http://schemas.microsoft.com/office/spreadsheetml/2009/9/main" objectType="CheckBox" autoLine="false" print="true" fmlaLink="FORMATTED!$H$10" lockText="1" noThreeD="1"/>
</file>

<file path=xl/ctrlProps/ctrlProps11.xml><?xml version="1.0" encoding="utf-8"?>
<formControlPr xmlns="http://schemas.microsoft.com/office/spreadsheetml/2009/9/main" objectType="CheckBox" autoLine="false" print="true" fmlaLink="FORMATTED!$H$11" lockText="1" noThreeD="1"/>
</file>

<file path=xl/ctrlProps/ctrlProps12.xml><?xml version="1.0" encoding="utf-8"?>
<formControlPr xmlns="http://schemas.microsoft.com/office/spreadsheetml/2009/9/main" objectType="CheckBox" autoLine="false" print="true" fmlaLink="FORMATTED!$H$12" lockText="1" noThreeD="1"/>
</file>

<file path=xl/ctrlProps/ctrlProps13.xml><?xml version="1.0" encoding="utf-8"?>
<formControlPr xmlns="http://schemas.microsoft.com/office/spreadsheetml/2009/9/main" objectType="CheckBox" autoLine="false" print="true" fmlaLink="FORMATTED!$H$13" lockText="1" noThreeD="1"/>
</file>

<file path=xl/ctrlProps/ctrlProps14.xml><?xml version="1.0" encoding="utf-8"?>
<formControlPr xmlns="http://schemas.microsoft.com/office/spreadsheetml/2009/9/main" objectType="CheckBox" autoLine="false" print="true" fmlaLink="FORMATTED!$H$14" lockText="1" noThreeD="1"/>
</file>

<file path=xl/ctrlProps/ctrlProps15.xml><?xml version="1.0" encoding="utf-8"?>
<formControlPr xmlns="http://schemas.microsoft.com/office/spreadsheetml/2009/9/main" objectType="CheckBox" autoLine="false" print="true" fmlaLink="FORMATTED!$H$15" lockText="1" noThreeD="1"/>
</file>

<file path=xl/ctrlProps/ctrlProps16.xml><?xml version="1.0" encoding="utf-8"?>
<formControlPr xmlns="http://schemas.microsoft.com/office/spreadsheetml/2009/9/main" objectType="CheckBox" autoLine="false" print="true" fmlaLink="FORMATTED!$H$16" lockText="1" noThreeD="1"/>
</file>

<file path=xl/ctrlProps/ctrlProps17.xml><?xml version="1.0" encoding="utf-8"?>
<formControlPr xmlns="http://schemas.microsoft.com/office/spreadsheetml/2009/9/main" objectType="CheckBox" autoLine="false" print="true" fmlaLink="FORMATTED!$H$17" lockText="1" noThreeD="1"/>
</file>

<file path=xl/ctrlProps/ctrlProps18.xml><?xml version="1.0" encoding="utf-8"?>
<formControlPr xmlns="http://schemas.microsoft.com/office/spreadsheetml/2009/9/main" objectType="CheckBox" autoLine="false" print="true" fmlaLink="FORMATTED!$H$18" lockText="1" noThreeD="1"/>
</file>

<file path=xl/ctrlProps/ctrlProps19.xml><?xml version="1.0" encoding="utf-8"?>
<formControlPr xmlns="http://schemas.microsoft.com/office/spreadsheetml/2009/9/main" objectType="CheckBox" autoLine="false" print="true" fmlaLink="FORMATTED!$H$19" lockText="1" noThreeD="1"/>
</file>

<file path=xl/ctrlProps/ctrlProps20.xml><?xml version="1.0" encoding="utf-8"?>
<formControlPr xmlns="http://schemas.microsoft.com/office/spreadsheetml/2009/9/main" objectType="CheckBox" autoLine="false" print="true" fmlaLink="FORMATTED!$H$20" lockText="1" noThreeD="1"/>
</file>

<file path=xl/ctrlProps/ctrlProps21.xml><?xml version="1.0" encoding="utf-8"?>
<formControlPr xmlns="http://schemas.microsoft.com/office/spreadsheetml/2009/9/main" objectType="CheckBox" autoLine="false" print="true" fmlaLink="FORMATTED!$H$21" lockText="1" noThreeD="1"/>
</file>

<file path=xl/ctrlProps/ctrlProps22.xml><?xml version="1.0" encoding="utf-8"?>
<formControlPr xmlns="http://schemas.microsoft.com/office/spreadsheetml/2009/9/main" objectType="CheckBox" autoLine="false" print="true" fmlaLink="FORMATTED!$H$22" lockText="1" noThreeD="1"/>
</file>

<file path=xl/ctrlProps/ctrlProps23.xml><?xml version="1.0" encoding="utf-8"?>
<formControlPr xmlns="http://schemas.microsoft.com/office/spreadsheetml/2009/9/main" objectType="CheckBox" autoLine="false" print="true" fmlaLink="FORMATTED!$H$23" lockText="1" noThreeD="1"/>
</file>

<file path=xl/ctrlProps/ctrlProps24.xml><?xml version="1.0" encoding="utf-8"?>
<formControlPr xmlns="http://schemas.microsoft.com/office/spreadsheetml/2009/9/main" objectType="CheckBox" autoLine="false" print="true" fmlaLink="FORMATTED!$H$24" lockText="1" noThreeD="1"/>
</file>

<file path=xl/ctrlProps/ctrlProps25.xml><?xml version="1.0" encoding="utf-8"?>
<formControlPr xmlns="http://schemas.microsoft.com/office/spreadsheetml/2009/9/main" objectType="CheckBox" autoLine="false" print="true" fmlaLink="FORMATTED!$H$25" lockText="1" noThreeD="1"/>
</file>

<file path=xl/ctrlProps/ctrlProps26.xml><?xml version="1.0" encoding="utf-8"?>
<formControlPr xmlns="http://schemas.microsoft.com/office/spreadsheetml/2009/9/main" objectType="CheckBox" autoLine="false" print="true" fmlaLink="FORMATTED!$H$26" lockText="1" noThreeD="1"/>
</file>

<file path=xl/ctrlProps/ctrlProps27.xml><?xml version="1.0" encoding="utf-8"?>
<formControlPr xmlns="http://schemas.microsoft.com/office/spreadsheetml/2009/9/main" objectType="CheckBox" autoLine="false" print="true" fmlaLink="FORMATTED!$H$27" lockText="1" noThreeD="1"/>
</file>

<file path=xl/ctrlProps/ctrlProps28.xml><?xml version="1.0" encoding="utf-8"?>
<formControlPr xmlns="http://schemas.microsoft.com/office/spreadsheetml/2009/9/main" objectType="CheckBox" autoLine="false" print="true" fmlaLink="FORMATTED!$H$28" lockText="1" noThreeD="1"/>
</file>

<file path=xl/ctrlProps/ctrlProps29.xml><?xml version="1.0" encoding="utf-8"?>
<formControlPr xmlns="http://schemas.microsoft.com/office/spreadsheetml/2009/9/main" objectType="CheckBox" autoLine="false" print="true" fmlaLink="FORMATTED!$H$29" lockText="1" noThreeD="1"/>
</file>

<file path=xl/ctrlProps/ctrlProps30.xml><?xml version="1.0" encoding="utf-8"?>
<formControlPr xmlns="http://schemas.microsoft.com/office/spreadsheetml/2009/9/main" objectType="CheckBox" autoLine="false" print="true" fmlaLink="FORMATTED!$H$30" lockText="1" noThreeD="1"/>
</file>

<file path=xl/ctrlProps/ctrlProps31.xml><?xml version="1.0" encoding="utf-8"?>
<formControlPr xmlns="http://schemas.microsoft.com/office/spreadsheetml/2009/9/main" objectType="CheckBox" autoLine="false" print="true" fmlaLink="FORMATTED!$H$31" lockText="1" noThreeD="1"/>
</file>

<file path=xl/ctrlProps/ctrlProps32.xml><?xml version="1.0" encoding="utf-8"?>
<formControlPr xmlns="http://schemas.microsoft.com/office/spreadsheetml/2009/9/main" objectType="CheckBox" autoLine="false" print="true" fmlaLink="FORMATTED!$H$32" lockText="1" noThreeD="1"/>
</file>

<file path=xl/ctrlProps/ctrlProps33.xml><?xml version="1.0" encoding="utf-8"?>
<formControlPr xmlns="http://schemas.microsoft.com/office/spreadsheetml/2009/9/main" objectType="CheckBox" autoLine="false" print="true" fmlaLink="FORMATTED!$H$33" lockText="1" noThreeD="1"/>
</file>

<file path=xl/ctrlProps/ctrlProps34.xml><?xml version="1.0" encoding="utf-8"?>
<formControlPr xmlns="http://schemas.microsoft.com/office/spreadsheetml/2009/9/main" objectType="CheckBox" autoLine="false" print="true" fmlaLink="FORMATTED!$K$2" lockText="1" noThreeD="1"/>
</file>

<file path=xl/ctrlProps/ctrlProps35.xml><?xml version="1.0" encoding="utf-8"?>
<formControlPr xmlns="http://schemas.microsoft.com/office/spreadsheetml/2009/9/main" objectType="CheckBox" autoLine="false" print="true" fmlaLink="FORMATTED!$K$3" lockText="1" noThreeD="1"/>
</file>

<file path=xl/ctrlProps/ctrlProps36.xml><?xml version="1.0" encoding="utf-8"?>
<formControlPr xmlns="http://schemas.microsoft.com/office/spreadsheetml/2009/9/main" objectType="CheckBox" autoLine="false" print="true" fmlaLink="FORMATTED!$K$4" lockText="1" noThreeD="1"/>
</file>

<file path=xl/ctrlProps/ctrlProps37.xml><?xml version="1.0" encoding="utf-8"?>
<formControlPr xmlns="http://schemas.microsoft.com/office/spreadsheetml/2009/9/main" objectType="CheckBox" autoLine="false" print="true" fmlaLink="FORMATTED!$K$5" lockText="1" noThreeD="1"/>
</file>

<file path=xl/ctrlProps/ctrlProps38.xml><?xml version="1.0" encoding="utf-8"?>
<formControlPr xmlns="http://schemas.microsoft.com/office/spreadsheetml/2009/9/main" objectType="CheckBox" autoLine="false" print="true" fmlaLink="FORMATTED!$K$8" lockText="1" noThreeD="1"/>
</file>

<file path=xl/ctrlProps/ctrlProps39.xml><?xml version="1.0" encoding="utf-8"?>
<formControlPr xmlns="http://schemas.microsoft.com/office/spreadsheetml/2009/9/main" objectType="CheckBox" autoLine="false" print="true" fmlaLink="FORMATTED!$K$9" lockText="1" noThreeD="1"/>
</file>

<file path=xl/ctrlProps/ctrlProps40.xml><?xml version="1.0" encoding="utf-8"?>
<formControlPr xmlns="http://schemas.microsoft.com/office/spreadsheetml/2009/9/main" objectType="CheckBox" autoLine="false" print="true" fmlaLink="FORMATTED!$K$6" lockText="1" noThreeD="1"/>
</file>

<file path=xl/ctrlProps/ctrlProps41.xml><?xml version="1.0" encoding="utf-8"?>
<formControlPr xmlns="http://schemas.microsoft.com/office/spreadsheetml/2009/9/main" objectType="CheckBox" autoLine="false" print="true" fmlaLink="FORMATTED!$K$7" lockText="1" noThreeD="1"/>
</file>

<file path=xl/ctrlProps/ctrlProps42.xml><?xml version="1.0" encoding="utf-8"?>
<formControlPr xmlns="http://schemas.microsoft.com/office/spreadsheetml/2009/9/main" objectType="CheckBox" autoLine="false" print="true" fmlaLink="FORMATTED!$K$16" lockText="1" noThreeD="1"/>
</file>

<file path=xl/ctrlProps/ctrlProps43.xml><?xml version="1.0" encoding="utf-8"?>
<formControlPr xmlns="http://schemas.microsoft.com/office/spreadsheetml/2009/9/main" objectType="CheckBox" autoLine="false" print="true" fmlaLink="FORMATTED!$K$15" lockText="1" noThreeD="1"/>
</file>

<file path=xl/ctrlProps/ctrlProps44.xml><?xml version="1.0" encoding="utf-8"?>
<formControlPr xmlns="http://schemas.microsoft.com/office/spreadsheetml/2009/9/main" objectType="CheckBox" autoLine="false" print="true" fmlaLink="FORMATTED!$K$14" lockText="1" noThreeD="1"/>
</file>

<file path=xl/ctrlProps/ctrlProps45.xml><?xml version="1.0" encoding="utf-8"?>
<formControlPr xmlns="http://schemas.microsoft.com/office/spreadsheetml/2009/9/main" objectType="CheckBox" autoLine="false" print="true" fmlaLink="FORMATTED!$K$13" lockText="1" noThreeD="1"/>
</file>

<file path=xl/ctrlProps/ctrlProps46.xml><?xml version="1.0" encoding="utf-8"?>
<formControlPr xmlns="http://schemas.microsoft.com/office/spreadsheetml/2009/9/main" objectType="CheckBox" checked="Checked" autoLine="false" print="true" fmlaLink="FORMATTED!$K$12" lockText="1" noThreeD="1"/>
</file>

<file path=xl/ctrlProps/ctrlProps47.xml><?xml version="1.0" encoding="utf-8"?>
<formControlPr xmlns="http://schemas.microsoft.com/office/spreadsheetml/2009/9/main" objectType="CheckBox" autoLine="false" print="true" fmlaLink="FORMATTED!$K$11" lockText="1" noThreeD="1"/>
</file>

<file path=xl/ctrlProps/ctrlProps48.xml><?xml version="1.0" encoding="utf-8"?>
<formControlPr xmlns="http://schemas.microsoft.com/office/spreadsheetml/2009/9/main" objectType="CheckBox" autoLine="false" print="true" fmlaLink="FORMATTED!$K$10" lockText="1" noThreeD="1"/>
</file>

<file path=xl/ctrlProps/ctrlProps49.xml><?xml version="1.0" encoding="utf-8"?>
<formControlPr xmlns="http://schemas.microsoft.com/office/spreadsheetml/2009/9/main" objectType="CheckBox" autoLine="false" print="true" fmlaLink="FORMATTED!$K$17" lockText="1" noThreeD="1"/>
</file>

<file path=xl/ctrlProps/ctrlProps50.xml><?xml version="1.0" encoding="utf-8"?>
<formControlPr xmlns="http://schemas.microsoft.com/office/spreadsheetml/2009/9/main" objectType="CheckBox" autoLine="false" print="true" fmlaLink="FORMATTED!$K$18" lockText="1" noThreeD="1"/>
</file>

<file path=xl/ctrlProps/ctrlProps51.xml><?xml version="1.0" encoding="utf-8"?>
<formControlPr xmlns="http://schemas.microsoft.com/office/spreadsheetml/2009/9/main" objectType="CheckBox" autoLine="false" print="true" fmlaLink="FORMATTED!$K$19" lockText="1" noThreeD="1"/>
</file>

<file path=xl/ctrlProps/ctrlProps52.xml><?xml version="1.0" encoding="utf-8"?>
<formControlPr xmlns="http://schemas.microsoft.com/office/spreadsheetml/2009/9/main" objectType="CheckBox" autoLine="false" print="true" fmlaLink="FORMATTED!$K$20" lockText="1" noThreeD="1"/>
</file>

<file path=xl/ctrlProps/ctrlProps53.xml><?xml version="1.0" encoding="utf-8"?>
<formControlPr xmlns="http://schemas.microsoft.com/office/spreadsheetml/2009/9/main" objectType="CheckBox" autoLine="false" print="true" fmlaLink="FORMATTED!$K$21" lockText="1" noThreeD="1"/>
</file>

<file path=xl/ctrlProps/ctrlProps54.xml><?xml version="1.0" encoding="utf-8"?>
<formControlPr xmlns="http://schemas.microsoft.com/office/spreadsheetml/2009/9/main" objectType="CheckBox" autoLine="false" print="true" fmlaLink="FORMATTED!$K$22" lockText="1" noThreeD="1"/>
</file>

<file path=xl/ctrlProps/ctrlProps55.xml><?xml version="1.0" encoding="utf-8"?>
<formControlPr xmlns="http://schemas.microsoft.com/office/spreadsheetml/2009/9/main" objectType="CheckBox" autoLine="false" print="true" fmlaLink="FORMATTED!$K$23" lockText="1" noThreeD="1"/>
</file>

<file path=xl/ctrlProps/ctrlProps56.xml><?xml version="1.0" encoding="utf-8"?>
<formControlPr xmlns="http://schemas.microsoft.com/office/spreadsheetml/2009/9/main" objectType="CheckBox" autoLine="false" print="true" fmlaLink="FORMATTED!$K$24" lockText="1" noThreeD="1"/>
</file>

<file path=xl/ctrlProps/ctrlProps57.xml><?xml version="1.0" encoding="utf-8"?>
<formControlPr xmlns="http://schemas.microsoft.com/office/spreadsheetml/2009/9/main" objectType="CheckBox" autoLine="false" print="true" fmlaLink="FORMATTED!$L$4" lockText="1" noThreeD="1"/>
</file>

<file path=xl/ctrlProps/ctrlProps58.xml><?xml version="1.0" encoding="utf-8"?>
<formControlPr xmlns="http://schemas.microsoft.com/office/spreadsheetml/2009/9/main" objectType="CheckBox" autoLine="false" print="true" fmlaLink="FORMATTED!$L$5" lockText="1" noThreeD="1"/>
</file>

<file path=xl/ctrlProps/ctrlProps59.xml><?xml version="1.0" encoding="utf-8"?>
<formControlPr xmlns="http://schemas.microsoft.com/office/spreadsheetml/2009/9/main" objectType="CheckBox" autoLine="false" print="true" fmlaLink="FORMATTED!$L$6" lockText="1" noThreeD="1"/>
</file>

<file path=xl/ctrlProps/ctrlProps60.xml><?xml version="1.0" encoding="utf-8"?>
<formControlPr xmlns="http://schemas.microsoft.com/office/spreadsheetml/2009/9/main" objectType="CheckBox" autoLine="false" print="true" fmlaLink="FORMATTED!$L$7" lockText="1" noThreeD="1"/>
</file>

<file path=xl/ctrlProps/ctrlProps61.xml><?xml version="1.0" encoding="utf-8"?>
<formControlPr xmlns="http://schemas.microsoft.com/office/spreadsheetml/2009/9/main" objectType="CheckBox" autoLine="false" print="true" fmlaLink="FORMATTED!$L$8" lockText="1" noThreeD="1"/>
</file>

<file path=xl/ctrlProps/ctrlProps62.xml><?xml version="1.0" encoding="utf-8"?>
<formControlPr xmlns="http://schemas.microsoft.com/office/spreadsheetml/2009/9/main" objectType="CheckBox" autoLine="false" print="true" fmlaLink="FORMATTED!$L$9" lockText="1" noThreeD="1"/>
</file>

<file path=xl/ctrlProps/ctrlProps63.xml><?xml version="1.0" encoding="utf-8"?>
<formControlPr xmlns="http://schemas.microsoft.com/office/spreadsheetml/2009/9/main" objectType="CheckBox" autoLine="false" print="true" fmlaLink="FORMATTED!$L$10" lockText="1" noThreeD="1"/>
</file>

<file path=xl/ctrlProps/ctrlProps64.xml><?xml version="1.0" encoding="utf-8"?>
<formControlPr xmlns="http://schemas.microsoft.com/office/spreadsheetml/2009/9/main" objectType="CheckBox" autoLine="false" print="true" fmlaLink="FORMATTED!$L$11" lockText="1" noThreeD="1"/>
</file>

<file path=xl/ctrlProps/ctrlProps65.xml><?xml version="1.0" encoding="utf-8"?>
<formControlPr xmlns="http://schemas.microsoft.com/office/spreadsheetml/2009/9/main" objectType="CheckBox" autoLine="false" print="true" fmlaLink="FORMATTED!$L$12" lockText="1" noThreeD="1"/>
</file>

<file path=xl/ctrlProps/ctrlProps66.xml><?xml version="1.0" encoding="utf-8"?>
<formControlPr xmlns="http://schemas.microsoft.com/office/spreadsheetml/2009/9/main" objectType="CheckBox" checked="Checked" autoLine="false" print="true" fmlaLink="FORMATTED!$L$13" lockText="1" noThreeD="1"/>
</file>

<file path=xl/ctrlProps/ctrlProps67.xml><?xml version="1.0" encoding="utf-8"?>
<formControlPr xmlns="http://schemas.microsoft.com/office/spreadsheetml/2009/9/main" objectType="CheckBox" autoLine="false" print="true" fmlaLink="FORMATTED!$L$14" lockText="1" noThreeD="1"/>
</file>

<file path=xl/ctrlProps/ctrlProps68.xml><?xml version="1.0" encoding="utf-8"?>
<formControlPr xmlns="http://schemas.microsoft.com/office/spreadsheetml/2009/9/main" objectType="CheckBox" autoLine="false" print="true" fmlaLink="FORMATTED!$L$15" lockText="1" noThreeD="1"/>
</file>

<file path=xl/ctrlProps/ctrlProps69.xml><?xml version="1.0" encoding="utf-8"?>
<formControlPr xmlns="http://schemas.microsoft.com/office/spreadsheetml/2009/9/main" objectType="CheckBox" autoLine="false" print="true" fmlaLink="FORMATTED!$L$16" lockText="1" noThreeD="1"/>
</file>

<file path=xl/ctrlProps/ctrlProps70.xml><?xml version="1.0" encoding="utf-8"?>
<formControlPr xmlns="http://schemas.microsoft.com/office/spreadsheetml/2009/9/main" objectType="CheckBox" autoLine="false" print="true" fmlaLink="FORMATTED!$L$17" lockText="1" noThreeD="1"/>
</file>

<file path=xl/ctrlProps/ctrlProps71.xml><?xml version="1.0" encoding="utf-8"?>
<formControlPr xmlns="http://schemas.microsoft.com/office/spreadsheetml/2009/9/main" objectType="CheckBox" autoLine="false" print="true" fmlaLink="FORMATTED!$L$18" lockText="1" noThreeD="1"/>
</file>

<file path=xl/ctrlProps/ctrlProps72.xml><?xml version="1.0" encoding="utf-8"?>
<formControlPr xmlns="http://schemas.microsoft.com/office/spreadsheetml/2009/9/main" objectType="CheckBox" autoLine="false" print="true" fmlaLink="FORMATTED!$L$19" lockText="1" noThreeD="1"/>
</file>

<file path=xl/ctrlProps/ctrlProps73.xml><?xml version="1.0" encoding="utf-8"?>
<formControlPr xmlns="http://schemas.microsoft.com/office/spreadsheetml/2009/9/main" objectType="CheckBox" autoLine="false" print="true" fmlaLink="FORMATTED!$L$20" lockText="1" noThreeD="1"/>
</file>

<file path=xl/ctrlProps/ctrlProps74.xml><?xml version="1.0" encoding="utf-8"?>
<formControlPr xmlns="http://schemas.microsoft.com/office/spreadsheetml/2009/9/main" objectType="CheckBox" autoLine="false" print="true" fmlaLink="FORMATTED!$L$21" lockText="1" noThreeD="1"/>
</file>

<file path=xl/ctrlProps/ctrlProps75.xml><?xml version="1.0" encoding="utf-8"?>
<formControlPr xmlns="http://schemas.microsoft.com/office/spreadsheetml/2009/9/main" objectType="CheckBox" autoLine="false" print="true" fmlaLink="FORMATTED!$L$22" lockText="1" noThreeD="1"/>
</file>

<file path=xl/ctrlProps/ctrlProps76.xml><?xml version="1.0" encoding="utf-8"?>
<formControlPr xmlns="http://schemas.microsoft.com/office/spreadsheetml/2009/9/main" objectType="CheckBox" autoLine="false" print="true" fmlaLink="FORMATTED!$L$23" lockText="1" noThreeD="1"/>
</file>

<file path=xl/ctrlProps/ctrlProps77.xml><?xml version="1.0" encoding="utf-8"?>
<formControlPr xmlns="http://schemas.microsoft.com/office/spreadsheetml/2009/9/main" objectType="CheckBox" autoLine="false" print="true" fmlaLink="FORMATTED!$L$24" lockText="1" noThreeD="1"/>
</file>

<file path=xl/ctrlProps/ctrlProps78.xml><?xml version="1.0" encoding="utf-8"?>
<formControlPr xmlns="http://schemas.microsoft.com/office/spreadsheetml/2009/9/main" objectType="CheckBox" autoLine="false" print="true" fmlaLink="FORMATTED!$K$25" lockText="1" noThreeD="1"/>
</file>

<file path=xl/ctrlProps/ctrlProps79.xml><?xml version="1.0" encoding="utf-8"?>
<formControlPr xmlns="http://schemas.microsoft.com/office/spreadsheetml/2009/9/main" objectType="CheckBox" autoLine="false" print="true" fmlaLink="FORMATTED!$K$26" lockText="1" noThreeD="1"/>
</file>

<file path=xl/ctrlProps/ctrlProps80.xml><?xml version="1.0" encoding="utf-8"?>
<formControlPr xmlns="http://schemas.microsoft.com/office/spreadsheetml/2009/9/main" objectType="CheckBox" autoLine="false" print="true" fmlaLink="FORMATTED!$K$27" lockText="1" noThreeD="1"/>
</file>

<file path=xl/ctrlProps/ctrlProps81.xml><?xml version="1.0" encoding="utf-8"?>
<formControlPr xmlns="http://schemas.microsoft.com/office/spreadsheetml/2009/9/main" objectType="CheckBox" autoLine="false" print="true" fmlaLink="FORMATTED!$K$28" lockText="1" noThreeD="1"/>
</file>

<file path=xl/ctrlProps/ctrlProps82.xml><?xml version="1.0" encoding="utf-8"?>
<formControlPr xmlns="http://schemas.microsoft.com/office/spreadsheetml/2009/9/main" objectType="CheckBox" autoLine="false" print="true" fmlaLink="FORMATTED!$K$29" lockText="1" noThreeD="1"/>
</file>

<file path=xl/ctrlProps/ctrlProps83.xml><?xml version="1.0" encoding="utf-8"?>
<formControlPr xmlns="http://schemas.microsoft.com/office/spreadsheetml/2009/9/main" objectType="CheckBox" autoLine="false" print="true" fmlaLink="FORMATTED!$L$25" lockText="1" noThreeD="1"/>
</file>

<file path=xl/ctrlProps/ctrlProps84.xml><?xml version="1.0" encoding="utf-8"?>
<formControlPr xmlns="http://schemas.microsoft.com/office/spreadsheetml/2009/9/main" objectType="CheckBox" autoLine="false" print="true" fmlaLink="FORMATTED!$L$26" lockText="1" noThreeD="1"/>
</file>

<file path=xl/ctrlProps/ctrlProps85.xml><?xml version="1.0" encoding="utf-8"?>
<formControlPr xmlns="http://schemas.microsoft.com/office/spreadsheetml/2009/9/main" objectType="CheckBox" autoLine="false" print="true" fmlaLink="FORMATTED!$L$27" lockText="1" noThreeD="1"/>
</file>

<file path=xl/ctrlProps/ctrlProps86.xml><?xml version="1.0" encoding="utf-8"?>
<formControlPr xmlns="http://schemas.microsoft.com/office/spreadsheetml/2009/9/main" objectType="CheckBox" autoLine="false" print="true" fmlaLink="FORMATTED!$L$28" lockText="1" noThreeD="1"/>
</file>

<file path=xl/ctrlProps/ctrlProps87.xml><?xml version="1.0" encoding="utf-8"?>
<formControlPr xmlns="http://schemas.microsoft.com/office/spreadsheetml/2009/9/main" objectType="CheckBox" autoLine="false" print="true" fmlaLink="FORMATTED!$L$29" lockText="1" noThreeD="1"/>
</file>

<file path=xl/ctrlProps/ctrlProps88.xml><?xml version="1.0" encoding="utf-8"?>
<formControlPr xmlns="http://schemas.microsoft.com/office/spreadsheetml/2009/9/main" objectType="CheckBox" autoLine="false" print="true" fmlaLink="FORMATTED!$K$30" lockText="1" noThreeD="1"/>
</file>

<file path=xl/ctrlProps/ctrlProps89.xml><?xml version="1.0" encoding="utf-8"?>
<formControlPr xmlns="http://schemas.microsoft.com/office/spreadsheetml/2009/9/main" objectType="CheckBox" autoLine="false" print="true" fmlaLink="FORMATTED!$K$31" lockText="1" noThreeD="1"/>
</file>

<file path=xl/ctrlProps/ctrlProps90.xml><?xml version="1.0" encoding="utf-8"?>
<formControlPr xmlns="http://schemas.microsoft.com/office/spreadsheetml/2009/9/main" objectType="CheckBox" autoLine="false" print="true" fmlaLink="FORMATTED!$K$32" lockText="1" noThreeD="1"/>
</file>

<file path=xl/ctrlProps/ctrlProps91.xml><?xml version="1.0" encoding="utf-8"?>
<formControlPr xmlns="http://schemas.microsoft.com/office/spreadsheetml/2009/9/main" objectType="CheckBox" autoLine="false" print="true" fmlaLink="FORMATTED!$K$33" lockText="1" noThreeD="1"/>
</file>

<file path=xl/ctrlProps/ctrlProps92.xml><?xml version="1.0" encoding="utf-8"?>
<formControlPr xmlns="http://schemas.microsoft.com/office/spreadsheetml/2009/9/main" objectType="CheckBox" autoLine="false" print="true" fmlaLink="FORMATTED!$L$30" lockText="1" noThreeD="1"/>
</file>

<file path=xl/ctrlProps/ctrlProps93.xml><?xml version="1.0" encoding="utf-8"?>
<formControlPr xmlns="http://schemas.microsoft.com/office/spreadsheetml/2009/9/main" objectType="CheckBox" autoLine="false" print="true" fmlaLink="FORMATTED!$L$31" lockText="1" noThreeD="1"/>
</file>

<file path=xl/ctrlProps/ctrlProps94.xml><?xml version="1.0" encoding="utf-8"?>
<formControlPr xmlns="http://schemas.microsoft.com/office/spreadsheetml/2009/9/main" objectType="CheckBox" autoLine="false" print="true" fmlaLink="FORMATTED!$L$32" lockText="1" noThreeD="1"/>
</file>

<file path=xl/ctrlProps/ctrlProps95.xml><?xml version="1.0" encoding="utf-8"?>
<formControlPr xmlns="http://schemas.microsoft.com/office/spreadsheetml/2009/9/main" objectType="CheckBox" autoLine="false" print="true" fmlaLink="FORMATTED!$L$33" lockText="1" noThreeD="1"/>
</file>

<file path=xl/ctrlProps/ctrlProps96.xml><?xml version="1.0" encoding="utf-8"?>
<formControlPr xmlns="http://schemas.microsoft.com/office/spreadsheetml/2009/9/main" objectType="CheckBox" autoLine="false" print="true" fmlaLink="FORMATTED!$L$2" lockText="1" noThreeD="1"/>
</file>

<file path=xl/ctrlProps/ctrlProps97.xml><?xml version="1.0" encoding="utf-8"?>
<formControlPr xmlns="http://schemas.microsoft.com/office/spreadsheetml/2009/9/main" objectType="CheckBox" autoLine="false" print="true" fmlaLink="FORMATTED!$L$3" lockText="1" noThreeD="1"/>
</file>

<file path=xl/ctrlProps/ctrlProps98.xml><?xml version="1.0" encoding="utf-8"?>
<formControlPr xmlns="http://schemas.microsoft.com/office/spreadsheetml/2009/9/main" objectType="CheckBox" checked="Checked" autoLine="false" print="true" fmlaLink="2965D!$V$10" lockText="1" noThreeD="1"/>
</file>

<file path=xl/ctrlProps/ctrlProps99.xml><?xml version="1.0" encoding="utf-8"?>
<formControlPr xmlns="http://schemas.microsoft.com/office/spreadsheetml/2009/9/main" objectType="CheckBox" autoLine="false" print="true" fmlaLink="2965D!$W$10" lockText="1" noThreeD="1"/>
</file>

<file path=xl/ctrlProps/ctrlProps100.xml><?xml version="1.0" encoding="utf-8"?>
<formControlPr xmlns="http://schemas.microsoft.com/office/spreadsheetml/2009/9/main" objectType="CheckBox" autoLine="false" print="true" fmlaLink="2965D!$V$11" lockText="1" noThreeD="1"/>
</file>

<file path=xl/ctrlProps/ctrlProps101.xml><?xml version="1.0" encoding="utf-8"?>
<formControlPr xmlns="http://schemas.microsoft.com/office/spreadsheetml/2009/9/main" objectType="CheckBox" autoLine="false" print="true" fmlaLink="2965D!$W$11" lockText="1" noThreeD="1"/>
</file>

<file path=xl/ctrlProps/ctrlProps102.xml><?xml version="1.0" encoding="utf-8"?>
<formControlPr xmlns="http://schemas.microsoft.com/office/spreadsheetml/2009/9/main" objectType="CheckBox" autoLine="false" print="true" fmlaLink="2965D!$V$12" lockText="1" noThreeD="1"/>
</file>

<file path=xl/ctrlProps/ctrlProps103.xml><?xml version="1.0" encoding="utf-8"?>
<formControlPr xmlns="http://schemas.microsoft.com/office/spreadsheetml/2009/9/main" objectType="CheckBox" autoLine="false" print="true" fmlaLink="2965D!$W$12" lockText="1" noThreeD="1"/>
</file>

<file path=xl/ctrlProps/ctrlProps104.xml><?xml version="1.0" encoding="utf-8"?>
<formControlPr xmlns="http://schemas.microsoft.com/office/spreadsheetml/2009/9/main" objectType="CheckBox" autoLine="false" print="true" fmlaLink="2965D!$V$13" lockText="1" noThreeD="1"/>
</file>

<file path=xl/ctrlProps/ctrlProps105.xml><?xml version="1.0" encoding="utf-8"?>
<formControlPr xmlns="http://schemas.microsoft.com/office/spreadsheetml/2009/9/main" objectType="CheckBox" autoLine="false" print="true" fmlaLink="2965D!$W$13" lockText="1" noThreeD="1"/>
</file>

<file path=xl/ctrlProps/ctrlProps106.xml><?xml version="1.0" encoding="utf-8"?>
<formControlPr xmlns="http://schemas.microsoft.com/office/spreadsheetml/2009/9/main" objectType="CheckBox" autoLine="false" print="true" fmlaLink="2965D!$V$14" lockText="1" noThreeD="1"/>
</file>

<file path=xl/ctrlProps/ctrlProps107.xml><?xml version="1.0" encoding="utf-8"?>
<formControlPr xmlns="http://schemas.microsoft.com/office/spreadsheetml/2009/9/main" objectType="CheckBox" checked="Checked" autoLine="false" print="true" fmlaLink="2965D!$W$14" lockText="1" noThreeD="1"/>
</file>

<file path=xl/ctrlProps/ctrlProps108.xml><?xml version="1.0" encoding="utf-8"?>
<formControlPr xmlns="http://schemas.microsoft.com/office/spreadsheetml/2009/9/main" objectType="CheckBox" autoLine="false" print="true" fmlaLink="2965D!$V$15" lockText="1" noThreeD="1"/>
</file>

<file path=xl/ctrlProps/ctrlProps109.xml><?xml version="1.0" encoding="utf-8"?>
<formControlPr xmlns="http://schemas.microsoft.com/office/spreadsheetml/2009/9/main" objectType="CheckBox" autoLine="false" print="true" fmlaLink="2965D!$W$15" lockText="1" noThreeD="1"/>
</file>

<file path=xl/ctrlProps/ctrlProps110.xml><?xml version="1.0" encoding="utf-8"?>
<formControlPr xmlns="http://schemas.microsoft.com/office/spreadsheetml/2009/9/main" objectType="CheckBox" autoLine="false" print="true" fmlaLink="2965D!$V$16" lockText="1" noThreeD="1"/>
</file>

<file path=xl/ctrlProps/ctrlProps111.xml><?xml version="1.0" encoding="utf-8"?>
<formControlPr xmlns="http://schemas.microsoft.com/office/spreadsheetml/2009/9/main" objectType="CheckBox" autoLine="false" print="true" fmlaLink="2965D!$W$16" lockText="1" noThreeD="1"/>
</file>

<file path=xl/ctrlProps/ctrlProps112.xml><?xml version="1.0" encoding="utf-8"?>
<formControlPr xmlns="http://schemas.microsoft.com/office/spreadsheetml/2009/9/main" objectType="CheckBox" autoLine="false" print="true" fmlaLink="2965D!$V$17" lockText="1" noThreeD="1"/>
</file>

<file path=xl/ctrlProps/ctrlProps113.xml><?xml version="1.0" encoding="utf-8"?>
<formControlPr xmlns="http://schemas.microsoft.com/office/spreadsheetml/2009/9/main" objectType="CheckBox" autoLine="false" print="true" fmlaLink="2965D!$W$17" lockText="1" noThreeD="1"/>
</file>

<file path=xl/ctrlProps/ctrlProps114.xml><?xml version="1.0" encoding="utf-8"?>
<formControlPr xmlns="http://schemas.microsoft.com/office/spreadsheetml/2009/9/main" objectType="CheckBox" autoLine="false" print="true" fmlaLink="2965D!$V$18" lockText="1" noThreeD="1"/>
</file>

<file path=xl/ctrlProps/ctrlProps115.xml><?xml version="1.0" encoding="utf-8"?>
<formControlPr xmlns="http://schemas.microsoft.com/office/spreadsheetml/2009/9/main" objectType="CheckBox" autoLine="false" print="true" fmlaLink="2965D!$W$18" lockText="1" noThreeD="1"/>
</file>

<file path=xl/ctrlProps/ctrlProps116.xml><?xml version="1.0" encoding="utf-8"?>
<formControlPr xmlns="http://schemas.microsoft.com/office/spreadsheetml/2009/9/main" objectType="CheckBox" autoLine="false" print="true" fmlaLink="2965D!$V$19" lockText="1" noThreeD="1"/>
</file>

<file path=xl/ctrlProps/ctrlProps117.xml><?xml version="1.0" encoding="utf-8"?>
<formControlPr xmlns="http://schemas.microsoft.com/office/spreadsheetml/2009/9/main" objectType="CheckBox" autoLine="false" print="true" fmlaLink="2965D!$W$19" lockText="1" noThreeD="1"/>
</file>

<file path=xl/ctrlProps/ctrlProps118.xml><?xml version="1.0" encoding="utf-8"?>
<formControlPr xmlns="http://schemas.microsoft.com/office/spreadsheetml/2009/9/main" objectType="CheckBox" autoLine="false" print="true" fmlaLink="2965D!$V$20" lockText="1" noThreeD="1"/>
</file>

<file path=xl/ctrlProps/ctrlProps119.xml><?xml version="1.0" encoding="utf-8"?>
<formControlPr xmlns="http://schemas.microsoft.com/office/spreadsheetml/2009/9/main" objectType="CheckBox" autoLine="false" print="true" fmlaLink="2965D!$W$20" lockText="1" noThreeD="1"/>
</file>

<file path=xl/ctrlProps/ctrlProps120.xml><?xml version="1.0" encoding="utf-8"?>
<formControlPr xmlns="http://schemas.microsoft.com/office/spreadsheetml/2009/9/main" objectType="CheckBox" autoLine="false" print="true" fmlaLink="2965D!$V$21" lockText="1" noThreeD="1"/>
</file>

<file path=xl/ctrlProps/ctrlProps121.xml><?xml version="1.0" encoding="utf-8"?>
<formControlPr xmlns="http://schemas.microsoft.com/office/spreadsheetml/2009/9/main" objectType="CheckBox" autoLine="false" print="true" fmlaLink="2965D!$W$21" lockText="1" noThreeD="1"/>
</file>

<file path=xl/ctrlProps/ctrlProps122.xml><?xml version="1.0" encoding="utf-8"?>
<formControlPr xmlns="http://schemas.microsoft.com/office/spreadsheetml/2009/9/main" objectType="CheckBox" autoLine="false" print="true" fmlaLink="2965D!$V$22" lockText="1" noThreeD="1"/>
</file>

<file path=xl/ctrlProps/ctrlProps123.xml><?xml version="1.0" encoding="utf-8"?>
<formControlPr xmlns="http://schemas.microsoft.com/office/spreadsheetml/2009/9/main" objectType="CheckBox" autoLine="false" print="true" fmlaLink="2965D!$W$22" lockText="1" noThreeD="1"/>
</file>

<file path=xl/ctrlProps/ctrlProps124.xml><?xml version="1.0" encoding="utf-8"?>
<formControlPr xmlns="http://schemas.microsoft.com/office/spreadsheetml/2009/9/main" objectType="CheckBox" autoLine="false" print="true" fmlaLink="2965D!$V$23" lockText="1" noThreeD="1"/>
</file>

<file path=xl/ctrlProps/ctrlProps125.xml><?xml version="1.0" encoding="utf-8"?>
<formControlPr xmlns="http://schemas.microsoft.com/office/spreadsheetml/2009/9/main" objectType="CheckBox" autoLine="false" print="true" fmlaLink="2965D!$W$23" lockText="1" noThreeD="1"/>
</file>

<file path=xl/ctrlProps/ctrlProps126.xml><?xml version="1.0" encoding="utf-8"?>
<formControlPr xmlns="http://schemas.microsoft.com/office/spreadsheetml/2009/9/main" objectType="CheckBox" autoLine="false" print="true" fmlaLink="2965D!$V$24" lockText="1" noThreeD="1"/>
</file>

<file path=xl/ctrlProps/ctrlProps127.xml><?xml version="1.0" encoding="utf-8"?>
<formControlPr xmlns="http://schemas.microsoft.com/office/spreadsheetml/2009/9/main" objectType="CheckBox" autoLine="false" print="true" fmlaLink="2965D!$W$24" lockText="1" noThreeD="1"/>
</file>

<file path=xl/ctrlProps/ctrlProps128.xml><?xml version="1.0" encoding="utf-8"?>
<formControlPr xmlns="http://schemas.microsoft.com/office/spreadsheetml/2009/9/main" objectType="CheckBox" autoLine="false" print="true" fmlaLink="2965D!$V$25" lockText="1" noThreeD="1"/>
</file>

<file path=xl/ctrlProps/ctrlProps129.xml><?xml version="1.0" encoding="utf-8"?>
<formControlPr xmlns="http://schemas.microsoft.com/office/spreadsheetml/2009/9/main" objectType="CheckBox" autoLine="false" print="true" fmlaLink="2965D!$W$25" lockText="1" noThreeD="1"/>
</file>

<file path=xl/ctrlProps/ctrlProps130.xml><?xml version="1.0" encoding="utf-8"?>
<formControlPr xmlns="http://schemas.microsoft.com/office/spreadsheetml/2009/9/main" objectType="CheckBox" autoLine="false" print="true" fmlaLink="2965D!$V$26" lockText="1" noThreeD="1"/>
</file>

<file path=xl/ctrlProps/ctrlProps131.xml><?xml version="1.0" encoding="utf-8"?>
<formControlPr xmlns="http://schemas.microsoft.com/office/spreadsheetml/2009/9/main" objectType="CheckBox" autoLine="false" print="true" fmlaLink="2965D!$W$26" lockText="1" noThreeD="1"/>
</file>

<file path=xl/ctrlProps/ctrlProps132.xml><?xml version="1.0" encoding="utf-8"?>
<formControlPr xmlns="http://schemas.microsoft.com/office/spreadsheetml/2009/9/main" objectType="CheckBox" autoLine="false" print="true" fmlaLink="2965D!$V$27" lockText="1" noThreeD="1"/>
</file>

<file path=xl/ctrlProps/ctrlProps133.xml><?xml version="1.0" encoding="utf-8"?>
<formControlPr xmlns="http://schemas.microsoft.com/office/spreadsheetml/2009/9/main" objectType="CheckBox" autoLine="false" print="true" fmlaLink="2965D!$W$27" lockText="1" noThreeD="1"/>
</file>

<file path=xl/ctrlProps/ctrlProps134.xml><?xml version="1.0" encoding="utf-8"?>
<formControlPr xmlns="http://schemas.microsoft.com/office/spreadsheetml/2009/9/main" objectType="CheckBox" autoLine="false" print="true" fmlaLink="2965D!$V$28" lockText="1" noThreeD="1"/>
</file>

<file path=xl/ctrlProps/ctrlProps135.xml><?xml version="1.0" encoding="utf-8"?>
<formControlPr xmlns="http://schemas.microsoft.com/office/spreadsheetml/2009/9/main" objectType="CheckBox" autoLine="false" print="true" fmlaLink="2965D!$W$28" lockText="1" noThreeD="1"/>
</file>

<file path=xl/ctrlProps/ctrlProps136.xml><?xml version="1.0" encoding="utf-8"?>
<formControlPr xmlns="http://schemas.microsoft.com/office/spreadsheetml/2009/9/main" objectType="CheckBox" autoLine="false" print="true" fmlaLink="2965D!$V$29" lockText="1" noThreeD="1"/>
</file>

<file path=xl/ctrlProps/ctrlProps137.xml><?xml version="1.0" encoding="utf-8"?>
<formControlPr xmlns="http://schemas.microsoft.com/office/spreadsheetml/2009/9/main" objectType="CheckBox" autoLine="false" print="true" fmlaLink="2965D!$W$29" lockText="1" noThreeD="1"/>
</file>

<file path=xl/ctrlProps/ctrlProps138.xml><?xml version="1.0" encoding="utf-8"?>
<formControlPr xmlns="http://schemas.microsoft.com/office/spreadsheetml/2009/9/main" objectType="CheckBox" autoLine="false" print="true" fmlaLink="2965D!$V$30" lockText="1" noThreeD="1"/>
</file>

<file path=xl/ctrlProps/ctrlProps139.xml><?xml version="1.0" encoding="utf-8"?>
<formControlPr xmlns="http://schemas.microsoft.com/office/spreadsheetml/2009/9/main" objectType="CheckBox" autoLine="false" print="true" fmlaLink="2965D!$W$30" lockText="1" noThreeD="1"/>
</file>

<file path=xl/ctrlProps/ctrlProps140.xml><?xml version="1.0" encoding="utf-8"?>
<formControlPr xmlns="http://schemas.microsoft.com/office/spreadsheetml/2009/9/main" objectType="CheckBox" autoLine="false" print="true" fmlaLink="2965D!$V$31" lockText="1" noThreeD="1"/>
</file>

<file path=xl/ctrlProps/ctrlProps141.xml><?xml version="1.0" encoding="utf-8"?>
<formControlPr xmlns="http://schemas.microsoft.com/office/spreadsheetml/2009/9/main" objectType="CheckBox" autoLine="false" print="true" fmlaLink="2965D!$W$31" lockText="1" noThreeD="1"/>
</file>

<file path=xl/ctrlProps/ctrlProps142.xml><?xml version="1.0" encoding="utf-8"?>
<formControlPr xmlns="http://schemas.microsoft.com/office/spreadsheetml/2009/9/main" objectType="CheckBox" autoLine="false" print="true" fmlaLink="2965D!$V$32" lockText="1" noThreeD="1"/>
</file>

<file path=xl/ctrlProps/ctrlProps143.xml><?xml version="1.0" encoding="utf-8"?>
<formControlPr xmlns="http://schemas.microsoft.com/office/spreadsheetml/2009/9/main" objectType="CheckBox" autoLine="false" print="true" fmlaLink="2965D!$W$32" lockText="1" noThreeD="1"/>
</file>

<file path=xl/ctrlProps/ctrlProps144.xml><?xml version="1.0" encoding="utf-8"?>
<formControlPr xmlns="http://schemas.microsoft.com/office/spreadsheetml/2009/9/main" objectType="CheckBox" autoLine="false" print="true" fmlaLink="2965D!$V$33" lockText="1" noThreeD="1"/>
</file>

<file path=xl/ctrlProps/ctrlProps145.xml><?xml version="1.0" encoding="utf-8"?>
<formControlPr xmlns="http://schemas.microsoft.com/office/spreadsheetml/2009/9/main" objectType="CheckBox" autoLine="false" print="true" fmlaLink="2965D!$W$33" lockText="1" noThreeD="1"/>
</file>

<file path=xl/ctrlProps/ctrlProps146.xml><?xml version="1.0" encoding="utf-8"?>
<formControlPr xmlns="http://schemas.microsoft.com/office/spreadsheetml/2009/9/main" objectType="CheckBox" autoLine="false" print="true" fmlaLink="2965D!$V$34" lockText="1" noThreeD="1"/>
</file>

<file path=xl/ctrlProps/ctrlProps147.xml><?xml version="1.0" encoding="utf-8"?>
<formControlPr xmlns="http://schemas.microsoft.com/office/spreadsheetml/2009/9/main" objectType="CheckBox" autoLine="false" print="true" fmlaLink="2965D!$W$34" lockText="1" noThreeD="1"/>
</file>

<file path=xl/ctrlProps/ctrlProps148.xml><?xml version="1.0" encoding="utf-8"?>
<formControlPr xmlns="http://schemas.microsoft.com/office/spreadsheetml/2009/9/main" objectType="CheckBox" autoLine="false" print="true" fmlaLink="2965D!$V$35" lockText="1" noThreeD="1"/>
</file>

<file path=xl/ctrlProps/ctrlProps149.xml><?xml version="1.0" encoding="utf-8"?>
<formControlPr xmlns="http://schemas.microsoft.com/office/spreadsheetml/2009/9/main" objectType="CheckBox" autoLine="false" print="true" fmlaLink="2965D!$W$35" lockText="1" noThreeD="1"/>
</file>

<file path=xl/ctrlProps/ctrlProps150.xml><?xml version="1.0" encoding="utf-8"?>
<formControlPr xmlns="http://schemas.microsoft.com/office/spreadsheetml/2009/9/main" objectType="CheckBox" autoLine="false" print="true" fmlaLink="2965D!$V$36" lockText="1" noThreeD="1"/>
</file>

<file path=xl/ctrlProps/ctrlProps151.xml><?xml version="1.0" encoding="utf-8"?>
<formControlPr xmlns="http://schemas.microsoft.com/office/spreadsheetml/2009/9/main" objectType="CheckBox" autoLine="false" print="true" fmlaLink="2965D!$W$36" lockText="1" noThreeD="1"/>
</file>

<file path=xl/ctrlProps/ctrlProps152.xml><?xml version="1.0" encoding="utf-8"?>
<formControlPr xmlns="http://schemas.microsoft.com/office/spreadsheetml/2009/9/main" objectType="CheckBox" autoLine="false" print="true" fmlaLink="2965D!$V$37" lockText="1" noThreeD="1"/>
</file>

<file path=xl/ctrlProps/ctrlProps153.xml><?xml version="1.0" encoding="utf-8"?>
<formControlPr xmlns="http://schemas.microsoft.com/office/spreadsheetml/2009/9/main" objectType="CheckBox" autoLine="false" print="true" fmlaLink="2965D!$W$37" lockText="1" noThreeD="1"/>
</file>

<file path=xl/ctrlProps/ctrlProps154.xml><?xml version="1.0" encoding="utf-8"?>
<formControlPr xmlns="http://schemas.microsoft.com/office/spreadsheetml/2009/9/main" objectType="CheckBox" autoLine="false" print="true" fmlaLink="2965D!$V$38" lockText="1" noThreeD="1"/>
</file>

<file path=xl/ctrlProps/ctrlProps155.xml><?xml version="1.0" encoding="utf-8"?>
<formControlPr xmlns="http://schemas.microsoft.com/office/spreadsheetml/2009/9/main" objectType="CheckBox" autoLine="false" print="true" fmlaLink="2965D!$W$38" lockText="1" noThreeD="1"/>
</file>

<file path=xl/ctrlProps/ctrlProps156.xml><?xml version="1.0" encoding="utf-8"?>
<formControlPr xmlns="http://schemas.microsoft.com/office/spreadsheetml/2009/9/main" objectType="CheckBox" autoLine="false" print="true" fmlaLink="2965D!$V$39" lockText="1" noThreeD="1"/>
</file>

<file path=xl/ctrlProps/ctrlProps157.xml><?xml version="1.0" encoding="utf-8"?>
<formControlPr xmlns="http://schemas.microsoft.com/office/spreadsheetml/2009/9/main" objectType="CheckBox" autoLine="false" print="true" fmlaLink="2965D!$W$39" lockText="1" noThreeD="1"/>
</file>

<file path=xl/ctrlProps/ctrlProps158.xml><?xml version="1.0" encoding="utf-8"?>
<formControlPr xmlns="http://schemas.microsoft.com/office/spreadsheetml/2009/9/main" objectType="CheckBox" autoLine="false" print="true" fmlaLink="2965D!$V$40" lockText="1" noThreeD="1"/>
</file>

<file path=xl/ctrlProps/ctrlProps159.xml><?xml version="1.0" encoding="utf-8"?>
<formControlPr xmlns="http://schemas.microsoft.com/office/spreadsheetml/2009/9/main" objectType="CheckBox" autoLine="false" print="true" fmlaLink="2965D!$W$40" lockText="1" noThreeD="1"/>
</file>

<file path=xl/ctrlProps/ctrlProps160.xml><?xml version="1.0" encoding="utf-8"?>
<formControlPr xmlns="http://schemas.microsoft.com/office/spreadsheetml/2009/9/main" objectType="CheckBox" autoLine="false" print="true" fmlaLink="2965D!$V$41" lockText="1" noThreeD="1"/>
</file>

<file path=xl/ctrlProps/ctrlProps161.xml><?xml version="1.0" encoding="utf-8"?>
<formControlPr xmlns="http://schemas.microsoft.com/office/spreadsheetml/2009/9/main" objectType="CheckBox" autoLine="false" print="true" fmlaLink="2965D!$W$41" lockText="1" noThreeD="1"/>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10</xdr:col>
          <xdr:colOff>488520</xdr:colOff>
          <xdr:row>9</xdr:row>
          <xdr:rowOff>186840</xdr:rowOff>
        </xdr:from>
        <xdr:to>
          <xdr:col>11</xdr:col>
          <xdr:colOff>-79920</xdr:colOff>
          <xdr:row>11</xdr:row>
          <xdr:rowOff>14760</xdr:rowOff>
        </xdr:to>
        <xdr:sp>
          <xdr:nvSpPr>
            <xdr:cNvPr id="1001" name="Check Box 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10</xdr:row>
          <xdr:rowOff>177120</xdr:rowOff>
        </xdr:from>
        <xdr:to>
          <xdr:col>11</xdr:col>
          <xdr:colOff>-79920</xdr:colOff>
          <xdr:row>12</xdr:row>
          <xdr:rowOff>5400</xdr:rowOff>
        </xdr:to>
        <xdr:sp>
          <xdr:nvSpPr>
            <xdr:cNvPr id="1002" name="Check Box 1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11</xdr:row>
          <xdr:rowOff>167400</xdr:rowOff>
        </xdr:from>
        <xdr:to>
          <xdr:col>11</xdr:col>
          <xdr:colOff>-79920</xdr:colOff>
          <xdr:row>12</xdr:row>
          <xdr:rowOff>186480</xdr:rowOff>
        </xdr:to>
        <xdr:sp>
          <xdr:nvSpPr>
            <xdr:cNvPr id="1003" name="Check Box 1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12</xdr:row>
          <xdr:rowOff>158040</xdr:rowOff>
        </xdr:from>
        <xdr:to>
          <xdr:col>11</xdr:col>
          <xdr:colOff>-79920</xdr:colOff>
          <xdr:row>13</xdr:row>
          <xdr:rowOff>177120</xdr:rowOff>
        </xdr:to>
        <xdr:sp>
          <xdr:nvSpPr>
            <xdr:cNvPr id="1004" name="Check Box 1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13</xdr:row>
          <xdr:rowOff>148680</xdr:rowOff>
        </xdr:from>
        <xdr:to>
          <xdr:col>11</xdr:col>
          <xdr:colOff>-79920</xdr:colOff>
          <xdr:row>14</xdr:row>
          <xdr:rowOff>167760</xdr:rowOff>
        </xdr:to>
        <xdr:sp>
          <xdr:nvSpPr>
            <xdr:cNvPr id="1005" name="Check Box 1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14</xdr:row>
          <xdr:rowOff>148680</xdr:rowOff>
        </xdr:from>
        <xdr:to>
          <xdr:col>11</xdr:col>
          <xdr:colOff>-79920</xdr:colOff>
          <xdr:row>15</xdr:row>
          <xdr:rowOff>167400</xdr:rowOff>
        </xdr:to>
        <xdr:sp>
          <xdr:nvSpPr>
            <xdr:cNvPr id="1006" name="Check Box 1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15</xdr:row>
          <xdr:rowOff>138960</xdr:rowOff>
        </xdr:from>
        <xdr:to>
          <xdr:col>11</xdr:col>
          <xdr:colOff>-79920</xdr:colOff>
          <xdr:row>16</xdr:row>
          <xdr:rowOff>158040</xdr:rowOff>
        </xdr:to>
        <xdr:sp>
          <xdr:nvSpPr>
            <xdr:cNvPr id="1007" name="Check Box 13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16</xdr:row>
          <xdr:rowOff>129600</xdr:rowOff>
        </xdr:from>
        <xdr:to>
          <xdr:col>11</xdr:col>
          <xdr:colOff>-79920</xdr:colOff>
          <xdr:row>17</xdr:row>
          <xdr:rowOff>148320</xdr:rowOff>
        </xdr:to>
        <xdr:sp>
          <xdr:nvSpPr>
            <xdr:cNvPr id="1008" name="Check Box 14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17</xdr:row>
          <xdr:rowOff>119880</xdr:rowOff>
        </xdr:from>
        <xdr:to>
          <xdr:col>11</xdr:col>
          <xdr:colOff>-79920</xdr:colOff>
          <xdr:row>18</xdr:row>
          <xdr:rowOff>138960</xdr:rowOff>
        </xdr:to>
        <xdr:sp>
          <xdr:nvSpPr>
            <xdr:cNvPr id="1009" name="Check Box 14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18</xdr:row>
          <xdr:rowOff>110520</xdr:rowOff>
        </xdr:from>
        <xdr:to>
          <xdr:col>11</xdr:col>
          <xdr:colOff>-79920</xdr:colOff>
          <xdr:row>19</xdr:row>
          <xdr:rowOff>129600</xdr:rowOff>
        </xdr:to>
        <xdr:sp>
          <xdr:nvSpPr>
            <xdr:cNvPr id="1010" name="Check Box 1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19</xdr:row>
          <xdr:rowOff>110520</xdr:rowOff>
        </xdr:from>
        <xdr:to>
          <xdr:col>11</xdr:col>
          <xdr:colOff>-79920</xdr:colOff>
          <xdr:row>20</xdr:row>
          <xdr:rowOff>129240</xdr:rowOff>
        </xdr:to>
        <xdr:sp>
          <xdr:nvSpPr>
            <xdr:cNvPr id="1011" name="Check Box 1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20</xdr:row>
          <xdr:rowOff>100800</xdr:rowOff>
        </xdr:from>
        <xdr:to>
          <xdr:col>11</xdr:col>
          <xdr:colOff>-79920</xdr:colOff>
          <xdr:row>21</xdr:row>
          <xdr:rowOff>119880</xdr:rowOff>
        </xdr:to>
        <xdr:sp>
          <xdr:nvSpPr>
            <xdr:cNvPr id="1012" name="Check Box 1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21</xdr:row>
          <xdr:rowOff>91440</xdr:rowOff>
        </xdr:from>
        <xdr:to>
          <xdr:col>11</xdr:col>
          <xdr:colOff>-79920</xdr:colOff>
          <xdr:row>22</xdr:row>
          <xdr:rowOff>110520</xdr:rowOff>
        </xdr:to>
        <xdr:sp>
          <xdr:nvSpPr>
            <xdr:cNvPr id="1013" name="Check Box 1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22</xdr:row>
          <xdr:rowOff>82080</xdr:rowOff>
        </xdr:from>
        <xdr:to>
          <xdr:col>11</xdr:col>
          <xdr:colOff>-79920</xdr:colOff>
          <xdr:row>23</xdr:row>
          <xdr:rowOff>100800</xdr:rowOff>
        </xdr:to>
        <xdr:sp>
          <xdr:nvSpPr>
            <xdr:cNvPr id="1014" name="Check Box 14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23</xdr:row>
          <xdr:rowOff>72360</xdr:rowOff>
        </xdr:from>
        <xdr:to>
          <xdr:col>11</xdr:col>
          <xdr:colOff>-79920</xdr:colOff>
          <xdr:row>24</xdr:row>
          <xdr:rowOff>91440</xdr:rowOff>
        </xdr:to>
        <xdr:sp>
          <xdr:nvSpPr>
            <xdr:cNvPr id="1015" name="Check Box 14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24</xdr:row>
          <xdr:rowOff>72360</xdr:rowOff>
        </xdr:from>
        <xdr:to>
          <xdr:col>11</xdr:col>
          <xdr:colOff>-79920</xdr:colOff>
          <xdr:row>25</xdr:row>
          <xdr:rowOff>91080</xdr:rowOff>
        </xdr:to>
        <xdr:sp>
          <xdr:nvSpPr>
            <xdr:cNvPr id="1016" name="Check Box 14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25</xdr:row>
          <xdr:rowOff>62640</xdr:rowOff>
        </xdr:from>
        <xdr:to>
          <xdr:col>11</xdr:col>
          <xdr:colOff>-79920</xdr:colOff>
          <xdr:row>26</xdr:row>
          <xdr:rowOff>81720</xdr:rowOff>
        </xdr:to>
        <xdr:sp>
          <xdr:nvSpPr>
            <xdr:cNvPr id="1017" name="Check Box 1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26</xdr:row>
          <xdr:rowOff>53280</xdr:rowOff>
        </xdr:from>
        <xdr:to>
          <xdr:col>11</xdr:col>
          <xdr:colOff>-79920</xdr:colOff>
          <xdr:row>27</xdr:row>
          <xdr:rowOff>72360</xdr:rowOff>
        </xdr:to>
        <xdr:sp>
          <xdr:nvSpPr>
            <xdr:cNvPr id="1018" name="Check Box 15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27</xdr:row>
          <xdr:rowOff>43920</xdr:rowOff>
        </xdr:from>
        <xdr:to>
          <xdr:col>11</xdr:col>
          <xdr:colOff>-79920</xdr:colOff>
          <xdr:row>28</xdr:row>
          <xdr:rowOff>63000</xdr:rowOff>
        </xdr:to>
        <xdr:sp>
          <xdr:nvSpPr>
            <xdr:cNvPr id="1019" name="Check Box 15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28</xdr:row>
          <xdr:rowOff>34560</xdr:rowOff>
        </xdr:from>
        <xdr:to>
          <xdr:col>11</xdr:col>
          <xdr:colOff>-79920</xdr:colOff>
          <xdr:row>29</xdr:row>
          <xdr:rowOff>53280</xdr:rowOff>
        </xdr:to>
        <xdr:sp>
          <xdr:nvSpPr>
            <xdr:cNvPr id="1020" name="Check Box 15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29</xdr:row>
          <xdr:rowOff>34200</xdr:rowOff>
        </xdr:from>
        <xdr:to>
          <xdr:col>11</xdr:col>
          <xdr:colOff>-79920</xdr:colOff>
          <xdr:row>30</xdr:row>
          <xdr:rowOff>52920</xdr:rowOff>
        </xdr:to>
        <xdr:sp>
          <xdr:nvSpPr>
            <xdr:cNvPr id="1021" name="Check Box 15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30</xdr:row>
          <xdr:rowOff>24480</xdr:rowOff>
        </xdr:from>
        <xdr:to>
          <xdr:col>11</xdr:col>
          <xdr:colOff>-79920</xdr:colOff>
          <xdr:row>31</xdr:row>
          <xdr:rowOff>43560</xdr:rowOff>
        </xdr:to>
        <xdr:sp>
          <xdr:nvSpPr>
            <xdr:cNvPr id="1022" name="Check Box 15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31</xdr:row>
          <xdr:rowOff>15120</xdr:rowOff>
        </xdr:from>
        <xdr:to>
          <xdr:col>11</xdr:col>
          <xdr:colOff>-79920</xdr:colOff>
          <xdr:row>32</xdr:row>
          <xdr:rowOff>34200</xdr:rowOff>
        </xdr:to>
        <xdr:sp>
          <xdr:nvSpPr>
            <xdr:cNvPr id="1023" name="Check Box 15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32</xdr:row>
          <xdr:rowOff>5760</xdr:rowOff>
        </xdr:from>
        <xdr:to>
          <xdr:col>11</xdr:col>
          <xdr:colOff>-79920</xdr:colOff>
          <xdr:row>33</xdr:row>
          <xdr:rowOff>15480</xdr:rowOff>
        </xdr:to>
        <xdr:sp>
          <xdr:nvSpPr>
            <xdr:cNvPr id="1024" name="Check Box 15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32</xdr:row>
          <xdr:rowOff>186840</xdr:rowOff>
        </xdr:from>
        <xdr:to>
          <xdr:col>11</xdr:col>
          <xdr:colOff>-79920</xdr:colOff>
          <xdr:row>33</xdr:row>
          <xdr:rowOff>186840</xdr:rowOff>
        </xdr:to>
        <xdr:sp>
          <xdr:nvSpPr>
            <xdr:cNvPr id="1025" name="Check Box 16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33</xdr:row>
          <xdr:rowOff>186840</xdr:rowOff>
        </xdr:from>
        <xdr:to>
          <xdr:col>11</xdr:col>
          <xdr:colOff>-79920</xdr:colOff>
          <xdr:row>35</xdr:row>
          <xdr:rowOff>5400</xdr:rowOff>
        </xdr:to>
        <xdr:sp>
          <xdr:nvSpPr>
            <xdr:cNvPr id="1026" name="Check Box 16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34</xdr:row>
          <xdr:rowOff>177120</xdr:rowOff>
        </xdr:from>
        <xdr:to>
          <xdr:col>11</xdr:col>
          <xdr:colOff>-79920</xdr:colOff>
          <xdr:row>35</xdr:row>
          <xdr:rowOff>186480</xdr:rowOff>
        </xdr:to>
        <xdr:sp>
          <xdr:nvSpPr>
            <xdr:cNvPr id="1027" name="Check Box 1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35</xdr:row>
          <xdr:rowOff>167400</xdr:rowOff>
        </xdr:from>
        <xdr:to>
          <xdr:col>11</xdr:col>
          <xdr:colOff>-79920</xdr:colOff>
          <xdr:row>36</xdr:row>
          <xdr:rowOff>177120</xdr:rowOff>
        </xdr:to>
        <xdr:sp>
          <xdr:nvSpPr>
            <xdr:cNvPr id="1028" name="Check Box 1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36</xdr:row>
          <xdr:rowOff>158040</xdr:rowOff>
        </xdr:from>
        <xdr:to>
          <xdr:col>11</xdr:col>
          <xdr:colOff>-79920</xdr:colOff>
          <xdr:row>37</xdr:row>
          <xdr:rowOff>177120</xdr:rowOff>
        </xdr:to>
        <xdr:sp>
          <xdr:nvSpPr>
            <xdr:cNvPr id="1029" name="Check Box 1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37</xdr:row>
          <xdr:rowOff>148680</xdr:rowOff>
        </xdr:from>
        <xdr:to>
          <xdr:col>11</xdr:col>
          <xdr:colOff>-79920</xdr:colOff>
          <xdr:row>38</xdr:row>
          <xdr:rowOff>167760</xdr:rowOff>
        </xdr:to>
        <xdr:sp>
          <xdr:nvSpPr>
            <xdr:cNvPr id="1030" name="Check Box 1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38</xdr:row>
          <xdr:rowOff>148680</xdr:rowOff>
        </xdr:from>
        <xdr:to>
          <xdr:col>11</xdr:col>
          <xdr:colOff>-79920</xdr:colOff>
          <xdr:row>39</xdr:row>
          <xdr:rowOff>167400</xdr:rowOff>
        </xdr:to>
        <xdr:sp>
          <xdr:nvSpPr>
            <xdr:cNvPr id="1031" name="Check Box 1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488520</xdr:colOff>
          <xdr:row>39</xdr:row>
          <xdr:rowOff>138960</xdr:rowOff>
        </xdr:from>
        <xdr:to>
          <xdr:col>11</xdr:col>
          <xdr:colOff>-79920</xdr:colOff>
          <xdr:row>40</xdr:row>
          <xdr:rowOff>158400</xdr:rowOff>
        </xdr:to>
        <xdr:sp>
          <xdr:nvSpPr>
            <xdr:cNvPr id="1032" name="Check Box 1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10</xdr:row>
          <xdr:rowOff>91440</xdr:rowOff>
        </xdr:from>
        <xdr:to>
          <xdr:col>7</xdr:col>
          <xdr:colOff>-238680</xdr:colOff>
          <xdr:row>11</xdr:row>
          <xdr:rowOff>24480</xdr:rowOff>
        </xdr:to>
        <xdr:sp>
          <xdr:nvSpPr>
            <xdr:cNvPr id="1033" name="Check Box 1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10</xdr:row>
          <xdr:rowOff>177480</xdr:rowOff>
        </xdr:from>
        <xdr:to>
          <xdr:col>7</xdr:col>
          <xdr:colOff>-238680</xdr:colOff>
          <xdr:row>12</xdr:row>
          <xdr:rowOff>5760</xdr:rowOff>
        </xdr:to>
        <xdr:sp>
          <xdr:nvSpPr>
            <xdr:cNvPr id="1034" name="Check Box 1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11</xdr:row>
          <xdr:rowOff>167400</xdr:rowOff>
        </xdr:from>
        <xdr:to>
          <xdr:col>7</xdr:col>
          <xdr:colOff>-238680</xdr:colOff>
          <xdr:row>13</xdr:row>
          <xdr:rowOff>5760</xdr:rowOff>
        </xdr:to>
        <xdr:sp>
          <xdr:nvSpPr>
            <xdr:cNvPr id="1035" name="Check Box 2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12</xdr:row>
          <xdr:rowOff>158040</xdr:rowOff>
        </xdr:from>
        <xdr:to>
          <xdr:col>7</xdr:col>
          <xdr:colOff>-238680</xdr:colOff>
          <xdr:row>13</xdr:row>
          <xdr:rowOff>177480</xdr:rowOff>
        </xdr:to>
        <xdr:sp>
          <xdr:nvSpPr>
            <xdr:cNvPr id="1036" name="Check Box 2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15</xdr:row>
          <xdr:rowOff>129600</xdr:rowOff>
        </xdr:from>
        <xdr:to>
          <xdr:col>7</xdr:col>
          <xdr:colOff>-238680</xdr:colOff>
          <xdr:row>16</xdr:row>
          <xdr:rowOff>167760</xdr:rowOff>
        </xdr:to>
        <xdr:sp>
          <xdr:nvSpPr>
            <xdr:cNvPr id="1037" name="Check Box 2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16</xdr:row>
          <xdr:rowOff>119880</xdr:rowOff>
        </xdr:from>
        <xdr:to>
          <xdr:col>7</xdr:col>
          <xdr:colOff>-238680</xdr:colOff>
          <xdr:row>17</xdr:row>
          <xdr:rowOff>138960</xdr:rowOff>
        </xdr:to>
        <xdr:sp>
          <xdr:nvSpPr>
            <xdr:cNvPr id="1038" name="Check Box 2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13</xdr:row>
          <xdr:rowOff>148680</xdr:rowOff>
        </xdr:from>
        <xdr:to>
          <xdr:col>7</xdr:col>
          <xdr:colOff>-238680</xdr:colOff>
          <xdr:row>14</xdr:row>
          <xdr:rowOff>177480</xdr:rowOff>
        </xdr:to>
        <xdr:sp>
          <xdr:nvSpPr>
            <xdr:cNvPr id="1039" name="Check Box 2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14</xdr:row>
          <xdr:rowOff>139320</xdr:rowOff>
        </xdr:from>
        <xdr:to>
          <xdr:col>7</xdr:col>
          <xdr:colOff>-238680</xdr:colOff>
          <xdr:row>15</xdr:row>
          <xdr:rowOff>158040</xdr:rowOff>
        </xdr:to>
        <xdr:sp>
          <xdr:nvSpPr>
            <xdr:cNvPr id="1040" name="Check Box 2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23</xdr:row>
          <xdr:rowOff>43560</xdr:rowOff>
        </xdr:from>
        <xdr:to>
          <xdr:col>7</xdr:col>
          <xdr:colOff>-238320</xdr:colOff>
          <xdr:row>24</xdr:row>
          <xdr:rowOff>91440</xdr:rowOff>
        </xdr:to>
        <xdr:sp>
          <xdr:nvSpPr>
            <xdr:cNvPr id="1041" name="Check Box 2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22</xdr:row>
          <xdr:rowOff>72360</xdr:rowOff>
        </xdr:from>
        <xdr:to>
          <xdr:col>7</xdr:col>
          <xdr:colOff>-238320</xdr:colOff>
          <xdr:row>23</xdr:row>
          <xdr:rowOff>91440</xdr:rowOff>
        </xdr:to>
        <xdr:sp>
          <xdr:nvSpPr>
            <xdr:cNvPr id="1042" name="Check Box 2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21</xdr:row>
          <xdr:rowOff>81720</xdr:rowOff>
        </xdr:from>
        <xdr:to>
          <xdr:col>7</xdr:col>
          <xdr:colOff>-238320</xdr:colOff>
          <xdr:row>22</xdr:row>
          <xdr:rowOff>101160</xdr:rowOff>
        </xdr:to>
        <xdr:sp>
          <xdr:nvSpPr>
            <xdr:cNvPr id="1043" name="Check Box 2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20</xdr:row>
          <xdr:rowOff>91440</xdr:rowOff>
        </xdr:from>
        <xdr:to>
          <xdr:col>7</xdr:col>
          <xdr:colOff>-238320</xdr:colOff>
          <xdr:row>21</xdr:row>
          <xdr:rowOff>110520</xdr:rowOff>
        </xdr:to>
        <xdr:sp>
          <xdr:nvSpPr>
            <xdr:cNvPr id="1044" name="Check Box 2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19</xdr:row>
          <xdr:rowOff>91440</xdr:rowOff>
        </xdr:from>
        <xdr:to>
          <xdr:col>7</xdr:col>
          <xdr:colOff>-238320</xdr:colOff>
          <xdr:row>20</xdr:row>
          <xdr:rowOff>138960</xdr:rowOff>
        </xdr:to>
        <xdr:sp>
          <xdr:nvSpPr>
            <xdr:cNvPr id="1045" name="Check Box 2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18</xdr:row>
          <xdr:rowOff>100800</xdr:rowOff>
        </xdr:from>
        <xdr:to>
          <xdr:col>7</xdr:col>
          <xdr:colOff>-238320</xdr:colOff>
          <xdr:row>19</xdr:row>
          <xdr:rowOff>129600</xdr:rowOff>
        </xdr:to>
        <xdr:sp>
          <xdr:nvSpPr>
            <xdr:cNvPr id="1046" name="Check Box 2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17</xdr:row>
          <xdr:rowOff>110160</xdr:rowOff>
        </xdr:from>
        <xdr:to>
          <xdr:col>7</xdr:col>
          <xdr:colOff>-238320</xdr:colOff>
          <xdr:row>18</xdr:row>
          <xdr:rowOff>148680</xdr:rowOff>
        </xdr:to>
        <xdr:sp>
          <xdr:nvSpPr>
            <xdr:cNvPr id="1047" name="Check Box 2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24</xdr:row>
          <xdr:rowOff>63000</xdr:rowOff>
        </xdr:from>
        <xdr:to>
          <xdr:col>7</xdr:col>
          <xdr:colOff>-238320</xdr:colOff>
          <xdr:row>25</xdr:row>
          <xdr:rowOff>100800</xdr:rowOff>
        </xdr:to>
        <xdr:sp>
          <xdr:nvSpPr>
            <xdr:cNvPr id="1048" name="Check Box 2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25</xdr:row>
          <xdr:rowOff>53280</xdr:rowOff>
        </xdr:from>
        <xdr:to>
          <xdr:col>7</xdr:col>
          <xdr:colOff>-238320</xdr:colOff>
          <xdr:row>26</xdr:row>
          <xdr:rowOff>91440</xdr:rowOff>
        </xdr:to>
        <xdr:sp>
          <xdr:nvSpPr>
            <xdr:cNvPr id="1049" name="Check Box 23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26</xdr:row>
          <xdr:rowOff>43560</xdr:rowOff>
        </xdr:from>
        <xdr:to>
          <xdr:col>7</xdr:col>
          <xdr:colOff>-238320</xdr:colOff>
          <xdr:row>27</xdr:row>
          <xdr:rowOff>82080</xdr:rowOff>
        </xdr:to>
        <xdr:sp>
          <xdr:nvSpPr>
            <xdr:cNvPr id="1050" name="Check Box 24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27</xdr:row>
          <xdr:rowOff>34200</xdr:rowOff>
        </xdr:from>
        <xdr:to>
          <xdr:col>7</xdr:col>
          <xdr:colOff>-238320</xdr:colOff>
          <xdr:row>28</xdr:row>
          <xdr:rowOff>53640</xdr:rowOff>
        </xdr:to>
        <xdr:sp>
          <xdr:nvSpPr>
            <xdr:cNvPr id="1051" name="Check Box 24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28</xdr:row>
          <xdr:rowOff>24840</xdr:rowOff>
        </xdr:from>
        <xdr:to>
          <xdr:col>7</xdr:col>
          <xdr:colOff>-238320</xdr:colOff>
          <xdr:row>29</xdr:row>
          <xdr:rowOff>53280</xdr:rowOff>
        </xdr:to>
        <xdr:sp>
          <xdr:nvSpPr>
            <xdr:cNvPr id="1052" name="Check Box 2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29</xdr:row>
          <xdr:rowOff>24840</xdr:rowOff>
        </xdr:from>
        <xdr:to>
          <xdr:col>7</xdr:col>
          <xdr:colOff>-228960</xdr:colOff>
          <xdr:row>30</xdr:row>
          <xdr:rowOff>62640</xdr:rowOff>
        </xdr:to>
        <xdr:sp>
          <xdr:nvSpPr>
            <xdr:cNvPr id="1053" name="Check Box 2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30</xdr:row>
          <xdr:rowOff>24840</xdr:rowOff>
        </xdr:from>
        <xdr:to>
          <xdr:col>7</xdr:col>
          <xdr:colOff>-228960</xdr:colOff>
          <xdr:row>31</xdr:row>
          <xdr:rowOff>43920</xdr:rowOff>
        </xdr:to>
        <xdr:sp>
          <xdr:nvSpPr>
            <xdr:cNvPr id="1054" name="Check Box 2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387000</xdr:colOff>
          <xdr:row>31</xdr:row>
          <xdr:rowOff>5400</xdr:rowOff>
        </xdr:from>
        <xdr:to>
          <xdr:col>7</xdr:col>
          <xdr:colOff>-228960</xdr:colOff>
          <xdr:row>32</xdr:row>
          <xdr:rowOff>63000</xdr:rowOff>
        </xdr:to>
        <xdr:sp>
          <xdr:nvSpPr>
            <xdr:cNvPr id="1055" name="Check Box 2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11</xdr:row>
          <xdr:rowOff>167400</xdr:rowOff>
        </xdr:from>
        <xdr:to>
          <xdr:col>8</xdr:col>
          <xdr:colOff>-569160</xdr:colOff>
          <xdr:row>13</xdr:row>
          <xdr:rowOff>5760</xdr:rowOff>
        </xdr:to>
        <xdr:sp>
          <xdr:nvSpPr>
            <xdr:cNvPr id="1056" name="Check Box 2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12</xdr:row>
          <xdr:rowOff>158040</xdr:rowOff>
        </xdr:from>
        <xdr:to>
          <xdr:col>8</xdr:col>
          <xdr:colOff>-569160</xdr:colOff>
          <xdr:row>13</xdr:row>
          <xdr:rowOff>186840</xdr:rowOff>
        </xdr:to>
        <xdr:sp>
          <xdr:nvSpPr>
            <xdr:cNvPr id="1057" name="Check Box 2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13</xdr:row>
          <xdr:rowOff>148680</xdr:rowOff>
        </xdr:from>
        <xdr:to>
          <xdr:col>8</xdr:col>
          <xdr:colOff>-569160</xdr:colOff>
          <xdr:row>14</xdr:row>
          <xdr:rowOff>177480</xdr:rowOff>
        </xdr:to>
        <xdr:sp>
          <xdr:nvSpPr>
            <xdr:cNvPr id="1058" name="Check Box 26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14</xdr:row>
          <xdr:rowOff>139320</xdr:rowOff>
        </xdr:from>
        <xdr:to>
          <xdr:col>8</xdr:col>
          <xdr:colOff>-569160</xdr:colOff>
          <xdr:row>15</xdr:row>
          <xdr:rowOff>177120</xdr:rowOff>
        </xdr:to>
        <xdr:sp>
          <xdr:nvSpPr>
            <xdr:cNvPr id="1059" name="Check Box 2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15</xdr:row>
          <xdr:rowOff>129600</xdr:rowOff>
        </xdr:from>
        <xdr:to>
          <xdr:col>8</xdr:col>
          <xdr:colOff>-569160</xdr:colOff>
          <xdr:row>16</xdr:row>
          <xdr:rowOff>167760</xdr:rowOff>
        </xdr:to>
        <xdr:sp>
          <xdr:nvSpPr>
            <xdr:cNvPr id="1060" name="Check Box 2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16</xdr:row>
          <xdr:rowOff>119880</xdr:rowOff>
        </xdr:from>
        <xdr:to>
          <xdr:col>8</xdr:col>
          <xdr:colOff>-569160</xdr:colOff>
          <xdr:row>17</xdr:row>
          <xdr:rowOff>158040</xdr:rowOff>
        </xdr:to>
        <xdr:sp>
          <xdr:nvSpPr>
            <xdr:cNvPr id="1061" name="Check Box 2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17</xdr:row>
          <xdr:rowOff>119880</xdr:rowOff>
        </xdr:from>
        <xdr:to>
          <xdr:col>8</xdr:col>
          <xdr:colOff>-569160</xdr:colOff>
          <xdr:row>18</xdr:row>
          <xdr:rowOff>148680</xdr:rowOff>
        </xdr:to>
        <xdr:sp>
          <xdr:nvSpPr>
            <xdr:cNvPr id="1062" name="Check Box 26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18</xdr:row>
          <xdr:rowOff>110520</xdr:rowOff>
        </xdr:from>
        <xdr:to>
          <xdr:col>8</xdr:col>
          <xdr:colOff>-569160</xdr:colOff>
          <xdr:row>19</xdr:row>
          <xdr:rowOff>139320</xdr:rowOff>
        </xdr:to>
        <xdr:sp>
          <xdr:nvSpPr>
            <xdr:cNvPr id="1063" name="Check Box 27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19</xdr:row>
          <xdr:rowOff>101160</xdr:rowOff>
        </xdr:from>
        <xdr:to>
          <xdr:col>8</xdr:col>
          <xdr:colOff>-569160</xdr:colOff>
          <xdr:row>20</xdr:row>
          <xdr:rowOff>138960</xdr:rowOff>
        </xdr:to>
        <xdr:sp>
          <xdr:nvSpPr>
            <xdr:cNvPr id="1064" name="Check Box 27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20</xdr:row>
          <xdr:rowOff>91440</xdr:rowOff>
        </xdr:from>
        <xdr:to>
          <xdr:col>8</xdr:col>
          <xdr:colOff>-569160</xdr:colOff>
          <xdr:row>21</xdr:row>
          <xdr:rowOff>129600</xdr:rowOff>
        </xdr:to>
        <xdr:sp>
          <xdr:nvSpPr>
            <xdr:cNvPr id="1065" name="Check Box 27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21</xdr:row>
          <xdr:rowOff>81720</xdr:rowOff>
        </xdr:from>
        <xdr:to>
          <xdr:col>8</xdr:col>
          <xdr:colOff>-569160</xdr:colOff>
          <xdr:row>22</xdr:row>
          <xdr:rowOff>120240</xdr:rowOff>
        </xdr:to>
        <xdr:sp>
          <xdr:nvSpPr>
            <xdr:cNvPr id="1066" name="Check Box 27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22</xdr:row>
          <xdr:rowOff>72360</xdr:rowOff>
        </xdr:from>
        <xdr:to>
          <xdr:col>8</xdr:col>
          <xdr:colOff>-569160</xdr:colOff>
          <xdr:row>23</xdr:row>
          <xdr:rowOff>91440</xdr:rowOff>
        </xdr:to>
        <xdr:sp>
          <xdr:nvSpPr>
            <xdr:cNvPr id="1067" name="Check Box 27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23</xdr:row>
          <xdr:rowOff>62640</xdr:rowOff>
        </xdr:from>
        <xdr:to>
          <xdr:col>8</xdr:col>
          <xdr:colOff>-569160</xdr:colOff>
          <xdr:row>24</xdr:row>
          <xdr:rowOff>91440</xdr:rowOff>
        </xdr:to>
        <xdr:sp>
          <xdr:nvSpPr>
            <xdr:cNvPr id="1068" name="Check Box 27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24</xdr:row>
          <xdr:rowOff>63000</xdr:rowOff>
        </xdr:from>
        <xdr:to>
          <xdr:col>8</xdr:col>
          <xdr:colOff>-569160</xdr:colOff>
          <xdr:row>25</xdr:row>
          <xdr:rowOff>119880</xdr:rowOff>
        </xdr:to>
        <xdr:sp>
          <xdr:nvSpPr>
            <xdr:cNvPr id="1069" name="Check Box 27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25</xdr:row>
          <xdr:rowOff>63000</xdr:rowOff>
        </xdr:from>
        <xdr:to>
          <xdr:col>8</xdr:col>
          <xdr:colOff>-569160</xdr:colOff>
          <xdr:row>26</xdr:row>
          <xdr:rowOff>82080</xdr:rowOff>
        </xdr:to>
        <xdr:sp>
          <xdr:nvSpPr>
            <xdr:cNvPr id="1070" name="Check Box 27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26</xdr:row>
          <xdr:rowOff>53280</xdr:rowOff>
        </xdr:from>
        <xdr:to>
          <xdr:col>8</xdr:col>
          <xdr:colOff>-569160</xdr:colOff>
          <xdr:row>27</xdr:row>
          <xdr:rowOff>72720</xdr:rowOff>
        </xdr:to>
        <xdr:sp>
          <xdr:nvSpPr>
            <xdr:cNvPr id="1071" name="Check Box 27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27</xdr:row>
          <xdr:rowOff>43920</xdr:rowOff>
        </xdr:from>
        <xdr:to>
          <xdr:col>8</xdr:col>
          <xdr:colOff>-569160</xdr:colOff>
          <xdr:row>28</xdr:row>
          <xdr:rowOff>63360</xdr:rowOff>
        </xdr:to>
        <xdr:sp>
          <xdr:nvSpPr>
            <xdr:cNvPr id="1072" name="Check Box 27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28</xdr:row>
          <xdr:rowOff>24840</xdr:rowOff>
        </xdr:from>
        <xdr:to>
          <xdr:col>8</xdr:col>
          <xdr:colOff>-569160</xdr:colOff>
          <xdr:row>29</xdr:row>
          <xdr:rowOff>72360</xdr:rowOff>
        </xdr:to>
        <xdr:sp>
          <xdr:nvSpPr>
            <xdr:cNvPr id="1073" name="Check Box 28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29</xdr:row>
          <xdr:rowOff>34200</xdr:rowOff>
        </xdr:from>
        <xdr:to>
          <xdr:col>8</xdr:col>
          <xdr:colOff>-569160</xdr:colOff>
          <xdr:row>30</xdr:row>
          <xdr:rowOff>62640</xdr:rowOff>
        </xdr:to>
        <xdr:sp>
          <xdr:nvSpPr>
            <xdr:cNvPr id="1074" name="Check Box 28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30</xdr:row>
          <xdr:rowOff>24840</xdr:rowOff>
        </xdr:from>
        <xdr:to>
          <xdr:col>8</xdr:col>
          <xdr:colOff>-569160</xdr:colOff>
          <xdr:row>31</xdr:row>
          <xdr:rowOff>43920</xdr:rowOff>
        </xdr:to>
        <xdr:sp>
          <xdr:nvSpPr>
            <xdr:cNvPr id="1075" name="Check Box 28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31</xdr:row>
          <xdr:rowOff>15120</xdr:rowOff>
        </xdr:from>
        <xdr:to>
          <xdr:col>8</xdr:col>
          <xdr:colOff>-569160</xdr:colOff>
          <xdr:row>32</xdr:row>
          <xdr:rowOff>43920</xdr:rowOff>
        </xdr:to>
        <xdr:sp>
          <xdr:nvSpPr>
            <xdr:cNvPr id="1076" name="Check Box 28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358200</xdr:colOff>
          <xdr:row>32</xdr:row>
          <xdr:rowOff>5760</xdr:rowOff>
        </xdr:from>
        <xdr:to>
          <xdr:col>7</xdr:col>
          <xdr:colOff>-248400</xdr:colOff>
          <xdr:row>33</xdr:row>
          <xdr:rowOff>34560</xdr:rowOff>
        </xdr:to>
        <xdr:sp>
          <xdr:nvSpPr>
            <xdr:cNvPr id="1077" name="Check Box 28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358200</xdr:colOff>
          <xdr:row>32</xdr:row>
          <xdr:rowOff>186840</xdr:rowOff>
        </xdr:from>
        <xdr:to>
          <xdr:col>7</xdr:col>
          <xdr:colOff>-248400</xdr:colOff>
          <xdr:row>33</xdr:row>
          <xdr:rowOff>186840</xdr:rowOff>
        </xdr:to>
        <xdr:sp>
          <xdr:nvSpPr>
            <xdr:cNvPr id="1078" name="Check Box 29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358200</xdr:colOff>
          <xdr:row>33</xdr:row>
          <xdr:rowOff>177480</xdr:rowOff>
        </xdr:from>
        <xdr:to>
          <xdr:col>7</xdr:col>
          <xdr:colOff>-248400</xdr:colOff>
          <xdr:row>35</xdr:row>
          <xdr:rowOff>5400</xdr:rowOff>
        </xdr:to>
        <xdr:sp>
          <xdr:nvSpPr>
            <xdr:cNvPr id="1079" name="Check Box 29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358200</xdr:colOff>
          <xdr:row>34</xdr:row>
          <xdr:rowOff>177480</xdr:rowOff>
        </xdr:from>
        <xdr:to>
          <xdr:col>7</xdr:col>
          <xdr:colOff>-248400</xdr:colOff>
          <xdr:row>35</xdr:row>
          <xdr:rowOff>186480</xdr:rowOff>
        </xdr:to>
        <xdr:sp>
          <xdr:nvSpPr>
            <xdr:cNvPr id="1080" name="Check Box 29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358200</xdr:colOff>
          <xdr:row>35</xdr:row>
          <xdr:rowOff>157680</xdr:rowOff>
        </xdr:from>
        <xdr:to>
          <xdr:col>7</xdr:col>
          <xdr:colOff>-248400</xdr:colOff>
          <xdr:row>36</xdr:row>
          <xdr:rowOff>177120</xdr:rowOff>
        </xdr:to>
        <xdr:sp>
          <xdr:nvSpPr>
            <xdr:cNvPr id="1081" name="Check Box 29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32</xdr:row>
          <xdr:rowOff>5760</xdr:rowOff>
        </xdr:from>
        <xdr:to>
          <xdr:col>8</xdr:col>
          <xdr:colOff>-569160</xdr:colOff>
          <xdr:row>33</xdr:row>
          <xdr:rowOff>24840</xdr:rowOff>
        </xdr:to>
        <xdr:sp>
          <xdr:nvSpPr>
            <xdr:cNvPr id="1082" name="Check Box 29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32</xdr:row>
          <xdr:rowOff>177120</xdr:rowOff>
        </xdr:from>
        <xdr:to>
          <xdr:col>8</xdr:col>
          <xdr:colOff>-569160</xdr:colOff>
          <xdr:row>34</xdr:row>
          <xdr:rowOff>15480</xdr:rowOff>
        </xdr:to>
        <xdr:sp>
          <xdr:nvSpPr>
            <xdr:cNvPr id="1083" name="Check Box 29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33</xdr:row>
          <xdr:rowOff>167760</xdr:rowOff>
        </xdr:from>
        <xdr:to>
          <xdr:col>8</xdr:col>
          <xdr:colOff>-569160</xdr:colOff>
          <xdr:row>35</xdr:row>
          <xdr:rowOff>5400</xdr:rowOff>
        </xdr:to>
        <xdr:sp>
          <xdr:nvSpPr>
            <xdr:cNvPr id="1084" name="Check Box 29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34</xdr:row>
          <xdr:rowOff>167760</xdr:rowOff>
        </xdr:from>
        <xdr:to>
          <xdr:col>8</xdr:col>
          <xdr:colOff>-569160</xdr:colOff>
          <xdr:row>35</xdr:row>
          <xdr:rowOff>186480</xdr:rowOff>
        </xdr:to>
        <xdr:sp>
          <xdr:nvSpPr>
            <xdr:cNvPr id="1085" name="Check Box 2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35</xdr:row>
          <xdr:rowOff>157680</xdr:rowOff>
        </xdr:from>
        <xdr:to>
          <xdr:col>8</xdr:col>
          <xdr:colOff>-569160</xdr:colOff>
          <xdr:row>36</xdr:row>
          <xdr:rowOff>177120</xdr:rowOff>
        </xdr:to>
        <xdr:sp>
          <xdr:nvSpPr>
            <xdr:cNvPr id="1086" name="Check Box 2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36</xdr:row>
          <xdr:rowOff>158040</xdr:rowOff>
        </xdr:from>
        <xdr:to>
          <xdr:col>7</xdr:col>
          <xdr:colOff>-238680</xdr:colOff>
          <xdr:row>37</xdr:row>
          <xdr:rowOff>186840</xdr:rowOff>
        </xdr:to>
        <xdr:sp>
          <xdr:nvSpPr>
            <xdr:cNvPr id="1087" name="Check Box 2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37</xdr:row>
          <xdr:rowOff>148680</xdr:rowOff>
        </xdr:from>
        <xdr:to>
          <xdr:col>7</xdr:col>
          <xdr:colOff>-238680</xdr:colOff>
          <xdr:row>38</xdr:row>
          <xdr:rowOff>167760</xdr:rowOff>
        </xdr:to>
        <xdr:sp>
          <xdr:nvSpPr>
            <xdr:cNvPr id="1088" name="Check Box 3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38</xdr:row>
          <xdr:rowOff>139320</xdr:rowOff>
        </xdr:from>
        <xdr:to>
          <xdr:col>7</xdr:col>
          <xdr:colOff>-238680</xdr:colOff>
          <xdr:row>39</xdr:row>
          <xdr:rowOff>158040</xdr:rowOff>
        </xdr:to>
        <xdr:sp>
          <xdr:nvSpPr>
            <xdr:cNvPr id="1089" name="Check Box 3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367920</xdr:colOff>
          <xdr:row>39</xdr:row>
          <xdr:rowOff>139320</xdr:rowOff>
        </xdr:from>
        <xdr:to>
          <xdr:col>7</xdr:col>
          <xdr:colOff>-238680</xdr:colOff>
          <xdr:row>40</xdr:row>
          <xdr:rowOff>158400</xdr:rowOff>
        </xdr:to>
        <xdr:sp>
          <xdr:nvSpPr>
            <xdr:cNvPr id="1090" name="Check Box 30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36</xdr:row>
          <xdr:rowOff>158040</xdr:rowOff>
        </xdr:from>
        <xdr:to>
          <xdr:col>8</xdr:col>
          <xdr:colOff>-569160</xdr:colOff>
          <xdr:row>37</xdr:row>
          <xdr:rowOff>186840</xdr:rowOff>
        </xdr:to>
        <xdr:sp>
          <xdr:nvSpPr>
            <xdr:cNvPr id="1091" name="Check Box 30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37</xdr:row>
          <xdr:rowOff>148680</xdr:rowOff>
        </xdr:from>
        <xdr:to>
          <xdr:col>8</xdr:col>
          <xdr:colOff>-569160</xdr:colOff>
          <xdr:row>38</xdr:row>
          <xdr:rowOff>167760</xdr:rowOff>
        </xdr:to>
        <xdr:sp>
          <xdr:nvSpPr>
            <xdr:cNvPr id="1092" name="Check Box 30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38</xdr:row>
          <xdr:rowOff>139320</xdr:rowOff>
        </xdr:from>
        <xdr:to>
          <xdr:col>8</xdr:col>
          <xdr:colOff>-569160</xdr:colOff>
          <xdr:row>39</xdr:row>
          <xdr:rowOff>158040</xdr:rowOff>
        </xdr:to>
        <xdr:sp>
          <xdr:nvSpPr>
            <xdr:cNvPr id="1093" name="Check Box 30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37800</xdr:colOff>
          <xdr:row>39</xdr:row>
          <xdr:rowOff>139320</xdr:rowOff>
        </xdr:from>
        <xdr:to>
          <xdr:col>8</xdr:col>
          <xdr:colOff>-569160</xdr:colOff>
          <xdr:row>40</xdr:row>
          <xdr:rowOff>158400</xdr:rowOff>
        </xdr:to>
        <xdr:sp>
          <xdr:nvSpPr>
            <xdr:cNvPr id="1094" name="Check Box 30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10</xdr:row>
          <xdr:rowOff>91440</xdr:rowOff>
        </xdr:from>
        <xdr:to>
          <xdr:col>8</xdr:col>
          <xdr:colOff>-569160</xdr:colOff>
          <xdr:row>11</xdr:row>
          <xdr:rowOff>43560</xdr:rowOff>
        </xdr:to>
        <xdr:sp>
          <xdr:nvSpPr>
            <xdr:cNvPr id="1095" name="Check Box 26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28080</xdr:colOff>
          <xdr:row>10</xdr:row>
          <xdr:rowOff>177480</xdr:rowOff>
        </xdr:from>
        <xdr:to>
          <xdr:col>8</xdr:col>
          <xdr:colOff>-569160</xdr:colOff>
          <xdr:row>12</xdr:row>
          <xdr:rowOff>15120</xdr:rowOff>
        </xdr:to>
        <xdr:sp>
          <xdr:nvSpPr>
            <xdr:cNvPr id="1096" name="Check Box 2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133200</xdr:colOff>
          <xdr:row>8</xdr:row>
          <xdr:rowOff>361800</xdr:rowOff>
        </xdr:from>
        <xdr:to>
          <xdr:col>22</xdr:col>
          <xdr:colOff>-324000</xdr:colOff>
          <xdr:row>10</xdr:row>
          <xdr:rowOff>28440</xdr:rowOff>
        </xdr:to>
        <xdr:sp>
          <xdr:nvSpPr>
            <xdr:cNvPr id="1097" name="Check Box 5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8</xdr:row>
          <xdr:rowOff>361800</xdr:rowOff>
        </xdr:from>
        <xdr:to>
          <xdr:col>23</xdr:col>
          <xdr:colOff>-311040</xdr:colOff>
          <xdr:row>10</xdr:row>
          <xdr:rowOff>19080</xdr:rowOff>
        </xdr:to>
        <xdr:sp>
          <xdr:nvSpPr>
            <xdr:cNvPr id="1098" name="Check Box 5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9</xdr:row>
          <xdr:rowOff>171360</xdr:rowOff>
        </xdr:from>
        <xdr:to>
          <xdr:col>22</xdr:col>
          <xdr:colOff>-314280</xdr:colOff>
          <xdr:row>11</xdr:row>
          <xdr:rowOff>28440</xdr:rowOff>
        </xdr:to>
        <xdr:sp>
          <xdr:nvSpPr>
            <xdr:cNvPr id="1099" name="Check Box 6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9</xdr:row>
          <xdr:rowOff>152280</xdr:rowOff>
        </xdr:from>
        <xdr:to>
          <xdr:col>23</xdr:col>
          <xdr:colOff>-311040</xdr:colOff>
          <xdr:row>11</xdr:row>
          <xdr:rowOff>28440</xdr:rowOff>
        </xdr:to>
        <xdr:sp>
          <xdr:nvSpPr>
            <xdr:cNvPr id="1100" name="Check Box 66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10</xdr:row>
          <xdr:rowOff>171360</xdr:rowOff>
        </xdr:from>
        <xdr:to>
          <xdr:col>22</xdr:col>
          <xdr:colOff>-314280</xdr:colOff>
          <xdr:row>12</xdr:row>
          <xdr:rowOff>28440</xdr:rowOff>
        </xdr:to>
        <xdr:sp>
          <xdr:nvSpPr>
            <xdr:cNvPr id="1101" name="Check Box 85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10</xdr:row>
          <xdr:rowOff>152280</xdr:rowOff>
        </xdr:from>
        <xdr:to>
          <xdr:col>23</xdr:col>
          <xdr:colOff>-311040</xdr:colOff>
          <xdr:row>12</xdr:row>
          <xdr:rowOff>19080</xdr:rowOff>
        </xdr:to>
        <xdr:sp>
          <xdr:nvSpPr>
            <xdr:cNvPr id="1102" name="Check Box 85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11</xdr:row>
          <xdr:rowOff>171360</xdr:rowOff>
        </xdr:from>
        <xdr:to>
          <xdr:col>22</xdr:col>
          <xdr:colOff>-314280</xdr:colOff>
          <xdr:row>13</xdr:row>
          <xdr:rowOff>28440</xdr:rowOff>
        </xdr:to>
        <xdr:sp>
          <xdr:nvSpPr>
            <xdr:cNvPr id="1103" name="Check Box 85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11</xdr:row>
          <xdr:rowOff>152280</xdr:rowOff>
        </xdr:from>
        <xdr:to>
          <xdr:col>23</xdr:col>
          <xdr:colOff>-311040</xdr:colOff>
          <xdr:row>13</xdr:row>
          <xdr:rowOff>19080</xdr:rowOff>
        </xdr:to>
        <xdr:sp>
          <xdr:nvSpPr>
            <xdr:cNvPr id="1104" name="Check Box 85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12</xdr:row>
          <xdr:rowOff>171360</xdr:rowOff>
        </xdr:from>
        <xdr:to>
          <xdr:col>22</xdr:col>
          <xdr:colOff>-314280</xdr:colOff>
          <xdr:row>14</xdr:row>
          <xdr:rowOff>19080</xdr:rowOff>
        </xdr:to>
        <xdr:sp>
          <xdr:nvSpPr>
            <xdr:cNvPr id="1105" name="Check Box 85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12</xdr:row>
          <xdr:rowOff>152280</xdr:rowOff>
        </xdr:from>
        <xdr:to>
          <xdr:col>23</xdr:col>
          <xdr:colOff>-311040</xdr:colOff>
          <xdr:row>14</xdr:row>
          <xdr:rowOff>19080</xdr:rowOff>
        </xdr:to>
        <xdr:sp>
          <xdr:nvSpPr>
            <xdr:cNvPr id="1106" name="Check Box 86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13</xdr:row>
          <xdr:rowOff>171360</xdr:rowOff>
        </xdr:from>
        <xdr:to>
          <xdr:col>22</xdr:col>
          <xdr:colOff>-314280</xdr:colOff>
          <xdr:row>15</xdr:row>
          <xdr:rowOff>19080</xdr:rowOff>
        </xdr:to>
        <xdr:sp>
          <xdr:nvSpPr>
            <xdr:cNvPr id="1107" name="Check Box 86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13</xdr:row>
          <xdr:rowOff>152280</xdr:rowOff>
        </xdr:from>
        <xdr:to>
          <xdr:col>23</xdr:col>
          <xdr:colOff>-311040</xdr:colOff>
          <xdr:row>15</xdr:row>
          <xdr:rowOff>19080</xdr:rowOff>
        </xdr:to>
        <xdr:sp>
          <xdr:nvSpPr>
            <xdr:cNvPr id="1108" name="Check Box 8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14</xdr:row>
          <xdr:rowOff>171360</xdr:rowOff>
        </xdr:from>
        <xdr:to>
          <xdr:col>22</xdr:col>
          <xdr:colOff>-314280</xdr:colOff>
          <xdr:row>16</xdr:row>
          <xdr:rowOff>28440</xdr:rowOff>
        </xdr:to>
        <xdr:sp>
          <xdr:nvSpPr>
            <xdr:cNvPr id="1109" name="Check Box 8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14</xdr:row>
          <xdr:rowOff>152280</xdr:rowOff>
        </xdr:from>
        <xdr:to>
          <xdr:col>23</xdr:col>
          <xdr:colOff>-311040</xdr:colOff>
          <xdr:row>16</xdr:row>
          <xdr:rowOff>19080</xdr:rowOff>
        </xdr:to>
        <xdr:sp>
          <xdr:nvSpPr>
            <xdr:cNvPr id="1110" name="Check Box 8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15</xdr:row>
          <xdr:rowOff>171360</xdr:rowOff>
        </xdr:from>
        <xdr:to>
          <xdr:col>22</xdr:col>
          <xdr:colOff>-314280</xdr:colOff>
          <xdr:row>17</xdr:row>
          <xdr:rowOff>28440</xdr:rowOff>
        </xdr:to>
        <xdr:sp>
          <xdr:nvSpPr>
            <xdr:cNvPr id="1111" name="Check Box 86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15</xdr:row>
          <xdr:rowOff>152280</xdr:rowOff>
        </xdr:from>
        <xdr:to>
          <xdr:col>23</xdr:col>
          <xdr:colOff>-311040</xdr:colOff>
          <xdr:row>17</xdr:row>
          <xdr:rowOff>19080</xdr:rowOff>
        </xdr:to>
        <xdr:sp>
          <xdr:nvSpPr>
            <xdr:cNvPr id="1112" name="Check Box 86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16</xdr:row>
          <xdr:rowOff>171360</xdr:rowOff>
        </xdr:from>
        <xdr:to>
          <xdr:col>22</xdr:col>
          <xdr:colOff>-314280</xdr:colOff>
          <xdr:row>18</xdr:row>
          <xdr:rowOff>28440</xdr:rowOff>
        </xdr:to>
        <xdr:sp>
          <xdr:nvSpPr>
            <xdr:cNvPr id="1113" name="Check Box 86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16</xdr:row>
          <xdr:rowOff>152280</xdr:rowOff>
        </xdr:from>
        <xdr:to>
          <xdr:col>23</xdr:col>
          <xdr:colOff>-311040</xdr:colOff>
          <xdr:row>18</xdr:row>
          <xdr:rowOff>19080</xdr:rowOff>
        </xdr:to>
        <xdr:sp>
          <xdr:nvSpPr>
            <xdr:cNvPr id="1114" name="Check Box 86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17</xdr:row>
          <xdr:rowOff>171360</xdr:rowOff>
        </xdr:from>
        <xdr:to>
          <xdr:col>22</xdr:col>
          <xdr:colOff>-314280</xdr:colOff>
          <xdr:row>19</xdr:row>
          <xdr:rowOff>19080</xdr:rowOff>
        </xdr:to>
        <xdr:sp>
          <xdr:nvSpPr>
            <xdr:cNvPr id="1115" name="Check Box 86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17</xdr:row>
          <xdr:rowOff>152280</xdr:rowOff>
        </xdr:from>
        <xdr:to>
          <xdr:col>23</xdr:col>
          <xdr:colOff>-311040</xdr:colOff>
          <xdr:row>19</xdr:row>
          <xdr:rowOff>19080</xdr:rowOff>
        </xdr:to>
        <xdr:sp>
          <xdr:nvSpPr>
            <xdr:cNvPr id="1116" name="Check Box 87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18</xdr:row>
          <xdr:rowOff>171360</xdr:rowOff>
        </xdr:from>
        <xdr:to>
          <xdr:col>22</xdr:col>
          <xdr:colOff>-314280</xdr:colOff>
          <xdr:row>20</xdr:row>
          <xdr:rowOff>19080</xdr:rowOff>
        </xdr:to>
        <xdr:sp>
          <xdr:nvSpPr>
            <xdr:cNvPr id="1117" name="Check Box 87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18</xdr:row>
          <xdr:rowOff>152280</xdr:rowOff>
        </xdr:from>
        <xdr:to>
          <xdr:col>23</xdr:col>
          <xdr:colOff>-311040</xdr:colOff>
          <xdr:row>20</xdr:row>
          <xdr:rowOff>19080</xdr:rowOff>
        </xdr:to>
        <xdr:sp>
          <xdr:nvSpPr>
            <xdr:cNvPr id="1118" name="Check Box 87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19</xdr:row>
          <xdr:rowOff>171360</xdr:rowOff>
        </xdr:from>
        <xdr:to>
          <xdr:col>22</xdr:col>
          <xdr:colOff>-314280</xdr:colOff>
          <xdr:row>21</xdr:row>
          <xdr:rowOff>28440</xdr:rowOff>
        </xdr:to>
        <xdr:sp>
          <xdr:nvSpPr>
            <xdr:cNvPr id="1119" name="Check Box 87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19</xdr:row>
          <xdr:rowOff>152280</xdr:rowOff>
        </xdr:from>
        <xdr:to>
          <xdr:col>23</xdr:col>
          <xdr:colOff>-311040</xdr:colOff>
          <xdr:row>21</xdr:row>
          <xdr:rowOff>19080</xdr:rowOff>
        </xdr:to>
        <xdr:sp>
          <xdr:nvSpPr>
            <xdr:cNvPr id="1120" name="Check Box 87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20</xdr:row>
          <xdr:rowOff>171360</xdr:rowOff>
        </xdr:from>
        <xdr:to>
          <xdr:col>22</xdr:col>
          <xdr:colOff>-314280</xdr:colOff>
          <xdr:row>22</xdr:row>
          <xdr:rowOff>28440</xdr:rowOff>
        </xdr:to>
        <xdr:sp>
          <xdr:nvSpPr>
            <xdr:cNvPr id="1121" name="Check Box 87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20</xdr:row>
          <xdr:rowOff>152280</xdr:rowOff>
        </xdr:from>
        <xdr:to>
          <xdr:col>23</xdr:col>
          <xdr:colOff>-311040</xdr:colOff>
          <xdr:row>22</xdr:row>
          <xdr:rowOff>19080</xdr:rowOff>
        </xdr:to>
        <xdr:sp>
          <xdr:nvSpPr>
            <xdr:cNvPr id="1122" name="Check Box 87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21</xdr:row>
          <xdr:rowOff>171360</xdr:rowOff>
        </xdr:from>
        <xdr:to>
          <xdr:col>22</xdr:col>
          <xdr:colOff>-314280</xdr:colOff>
          <xdr:row>23</xdr:row>
          <xdr:rowOff>28440</xdr:rowOff>
        </xdr:to>
        <xdr:sp>
          <xdr:nvSpPr>
            <xdr:cNvPr id="1123" name="Check Box 87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21</xdr:row>
          <xdr:rowOff>152280</xdr:rowOff>
        </xdr:from>
        <xdr:to>
          <xdr:col>23</xdr:col>
          <xdr:colOff>-311040</xdr:colOff>
          <xdr:row>23</xdr:row>
          <xdr:rowOff>19080</xdr:rowOff>
        </xdr:to>
        <xdr:sp>
          <xdr:nvSpPr>
            <xdr:cNvPr id="1124" name="Check Box 87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22</xdr:row>
          <xdr:rowOff>171360</xdr:rowOff>
        </xdr:from>
        <xdr:to>
          <xdr:col>22</xdr:col>
          <xdr:colOff>-314280</xdr:colOff>
          <xdr:row>24</xdr:row>
          <xdr:rowOff>19080</xdr:rowOff>
        </xdr:to>
        <xdr:sp>
          <xdr:nvSpPr>
            <xdr:cNvPr id="1125" name="Check Box 87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22</xdr:row>
          <xdr:rowOff>152280</xdr:rowOff>
        </xdr:from>
        <xdr:to>
          <xdr:col>23</xdr:col>
          <xdr:colOff>-311040</xdr:colOff>
          <xdr:row>24</xdr:row>
          <xdr:rowOff>19080</xdr:rowOff>
        </xdr:to>
        <xdr:sp>
          <xdr:nvSpPr>
            <xdr:cNvPr id="1126" name="Check Box 88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23</xdr:row>
          <xdr:rowOff>171360</xdr:rowOff>
        </xdr:from>
        <xdr:to>
          <xdr:col>22</xdr:col>
          <xdr:colOff>-314280</xdr:colOff>
          <xdr:row>25</xdr:row>
          <xdr:rowOff>19080</xdr:rowOff>
        </xdr:to>
        <xdr:sp>
          <xdr:nvSpPr>
            <xdr:cNvPr id="1127" name="Check Box 88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23</xdr:row>
          <xdr:rowOff>152280</xdr:rowOff>
        </xdr:from>
        <xdr:to>
          <xdr:col>23</xdr:col>
          <xdr:colOff>-311040</xdr:colOff>
          <xdr:row>25</xdr:row>
          <xdr:rowOff>19080</xdr:rowOff>
        </xdr:to>
        <xdr:sp>
          <xdr:nvSpPr>
            <xdr:cNvPr id="1128" name="Check Box 88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24</xdr:row>
          <xdr:rowOff>171360</xdr:rowOff>
        </xdr:from>
        <xdr:to>
          <xdr:col>22</xdr:col>
          <xdr:colOff>-314280</xdr:colOff>
          <xdr:row>26</xdr:row>
          <xdr:rowOff>28440</xdr:rowOff>
        </xdr:to>
        <xdr:sp>
          <xdr:nvSpPr>
            <xdr:cNvPr id="1129" name="Check Box 88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24</xdr:row>
          <xdr:rowOff>152280</xdr:rowOff>
        </xdr:from>
        <xdr:to>
          <xdr:col>23</xdr:col>
          <xdr:colOff>-311040</xdr:colOff>
          <xdr:row>26</xdr:row>
          <xdr:rowOff>19080</xdr:rowOff>
        </xdr:to>
        <xdr:sp>
          <xdr:nvSpPr>
            <xdr:cNvPr id="1130" name="Check Box 88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25</xdr:row>
          <xdr:rowOff>171360</xdr:rowOff>
        </xdr:from>
        <xdr:to>
          <xdr:col>22</xdr:col>
          <xdr:colOff>-314280</xdr:colOff>
          <xdr:row>27</xdr:row>
          <xdr:rowOff>28440</xdr:rowOff>
        </xdr:to>
        <xdr:sp>
          <xdr:nvSpPr>
            <xdr:cNvPr id="1131" name="Check Box 88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25</xdr:row>
          <xdr:rowOff>152280</xdr:rowOff>
        </xdr:from>
        <xdr:to>
          <xdr:col>23</xdr:col>
          <xdr:colOff>-311040</xdr:colOff>
          <xdr:row>27</xdr:row>
          <xdr:rowOff>19080</xdr:rowOff>
        </xdr:to>
        <xdr:sp>
          <xdr:nvSpPr>
            <xdr:cNvPr id="1132" name="Check Box 88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26</xdr:row>
          <xdr:rowOff>171360</xdr:rowOff>
        </xdr:from>
        <xdr:to>
          <xdr:col>22</xdr:col>
          <xdr:colOff>-314280</xdr:colOff>
          <xdr:row>28</xdr:row>
          <xdr:rowOff>28440</xdr:rowOff>
        </xdr:to>
        <xdr:sp>
          <xdr:nvSpPr>
            <xdr:cNvPr id="1133" name="Check Box 88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26</xdr:row>
          <xdr:rowOff>152280</xdr:rowOff>
        </xdr:from>
        <xdr:to>
          <xdr:col>23</xdr:col>
          <xdr:colOff>-311040</xdr:colOff>
          <xdr:row>28</xdr:row>
          <xdr:rowOff>19080</xdr:rowOff>
        </xdr:to>
        <xdr:sp>
          <xdr:nvSpPr>
            <xdr:cNvPr id="1134" name="Check Box 88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27</xdr:row>
          <xdr:rowOff>171360</xdr:rowOff>
        </xdr:from>
        <xdr:to>
          <xdr:col>22</xdr:col>
          <xdr:colOff>-314280</xdr:colOff>
          <xdr:row>29</xdr:row>
          <xdr:rowOff>19080</xdr:rowOff>
        </xdr:to>
        <xdr:sp>
          <xdr:nvSpPr>
            <xdr:cNvPr id="1135" name="Check Box 88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27</xdr:row>
          <xdr:rowOff>152280</xdr:rowOff>
        </xdr:from>
        <xdr:to>
          <xdr:col>23</xdr:col>
          <xdr:colOff>-311040</xdr:colOff>
          <xdr:row>29</xdr:row>
          <xdr:rowOff>19080</xdr:rowOff>
        </xdr:to>
        <xdr:sp>
          <xdr:nvSpPr>
            <xdr:cNvPr id="1136" name="Check Box 89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28</xdr:row>
          <xdr:rowOff>171360</xdr:rowOff>
        </xdr:from>
        <xdr:to>
          <xdr:col>22</xdr:col>
          <xdr:colOff>-314280</xdr:colOff>
          <xdr:row>30</xdr:row>
          <xdr:rowOff>19080</xdr:rowOff>
        </xdr:to>
        <xdr:sp>
          <xdr:nvSpPr>
            <xdr:cNvPr id="1137" name="Check Box 89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28</xdr:row>
          <xdr:rowOff>152280</xdr:rowOff>
        </xdr:from>
        <xdr:to>
          <xdr:col>23</xdr:col>
          <xdr:colOff>-311040</xdr:colOff>
          <xdr:row>30</xdr:row>
          <xdr:rowOff>19080</xdr:rowOff>
        </xdr:to>
        <xdr:sp>
          <xdr:nvSpPr>
            <xdr:cNvPr id="1138" name="Check Box 89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29</xdr:row>
          <xdr:rowOff>171360</xdr:rowOff>
        </xdr:from>
        <xdr:to>
          <xdr:col>22</xdr:col>
          <xdr:colOff>-314280</xdr:colOff>
          <xdr:row>31</xdr:row>
          <xdr:rowOff>28440</xdr:rowOff>
        </xdr:to>
        <xdr:sp>
          <xdr:nvSpPr>
            <xdr:cNvPr id="1139" name="Check Box 89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29</xdr:row>
          <xdr:rowOff>152280</xdr:rowOff>
        </xdr:from>
        <xdr:to>
          <xdr:col>23</xdr:col>
          <xdr:colOff>-311040</xdr:colOff>
          <xdr:row>31</xdr:row>
          <xdr:rowOff>19080</xdr:rowOff>
        </xdr:to>
        <xdr:sp>
          <xdr:nvSpPr>
            <xdr:cNvPr id="1140" name="Check Box 89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30</xdr:row>
          <xdr:rowOff>171360</xdr:rowOff>
        </xdr:from>
        <xdr:to>
          <xdr:col>22</xdr:col>
          <xdr:colOff>-314280</xdr:colOff>
          <xdr:row>32</xdr:row>
          <xdr:rowOff>28440</xdr:rowOff>
        </xdr:to>
        <xdr:sp>
          <xdr:nvSpPr>
            <xdr:cNvPr id="1141" name="Check Box 89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30</xdr:row>
          <xdr:rowOff>152280</xdr:rowOff>
        </xdr:from>
        <xdr:to>
          <xdr:col>23</xdr:col>
          <xdr:colOff>-311040</xdr:colOff>
          <xdr:row>32</xdr:row>
          <xdr:rowOff>19080</xdr:rowOff>
        </xdr:to>
        <xdr:sp>
          <xdr:nvSpPr>
            <xdr:cNvPr id="1142" name="Check Box 89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31</xdr:row>
          <xdr:rowOff>171360</xdr:rowOff>
        </xdr:from>
        <xdr:to>
          <xdr:col>22</xdr:col>
          <xdr:colOff>-314280</xdr:colOff>
          <xdr:row>33</xdr:row>
          <xdr:rowOff>28440</xdr:rowOff>
        </xdr:to>
        <xdr:sp>
          <xdr:nvSpPr>
            <xdr:cNvPr id="1143" name="Check Box 89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31</xdr:row>
          <xdr:rowOff>152280</xdr:rowOff>
        </xdr:from>
        <xdr:to>
          <xdr:col>23</xdr:col>
          <xdr:colOff>-311040</xdr:colOff>
          <xdr:row>33</xdr:row>
          <xdr:rowOff>19080</xdr:rowOff>
        </xdr:to>
        <xdr:sp>
          <xdr:nvSpPr>
            <xdr:cNvPr id="1144" name="Check Box 89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32</xdr:row>
          <xdr:rowOff>171360</xdr:rowOff>
        </xdr:from>
        <xdr:to>
          <xdr:col>22</xdr:col>
          <xdr:colOff>-314280</xdr:colOff>
          <xdr:row>34</xdr:row>
          <xdr:rowOff>19080</xdr:rowOff>
        </xdr:to>
        <xdr:sp>
          <xdr:nvSpPr>
            <xdr:cNvPr id="1145" name="Check Box 89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32</xdr:row>
          <xdr:rowOff>152280</xdr:rowOff>
        </xdr:from>
        <xdr:to>
          <xdr:col>23</xdr:col>
          <xdr:colOff>-311040</xdr:colOff>
          <xdr:row>34</xdr:row>
          <xdr:rowOff>19080</xdr:rowOff>
        </xdr:to>
        <xdr:sp>
          <xdr:nvSpPr>
            <xdr:cNvPr id="1146" name="Check Box 90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33</xdr:row>
          <xdr:rowOff>171360</xdr:rowOff>
        </xdr:from>
        <xdr:to>
          <xdr:col>22</xdr:col>
          <xdr:colOff>-314280</xdr:colOff>
          <xdr:row>35</xdr:row>
          <xdr:rowOff>19080</xdr:rowOff>
        </xdr:to>
        <xdr:sp>
          <xdr:nvSpPr>
            <xdr:cNvPr id="1147" name="Check Box 90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33</xdr:row>
          <xdr:rowOff>152280</xdr:rowOff>
        </xdr:from>
        <xdr:to>
          <xdr:col>23</xdr:col>
          <xdr:colOff>-311040</xdr:colOff>
          <xdr:row>35</xdr:row>
          <xdr:rowOff>19080</xdr:rowOff>
        </xdr:to>
        <xdr:sp>
          <xdr:nvSpPr>
            <xdr:cNvPr id="1148" name="Check Box 90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34</xdr:row>
          <xdr:rowOff>171360</xdr:rowOff>
        </xdr:from>
        <xdr:to>
          <xdr:col>22</xdr:col>
          <xdr:colOff>-314280</xdr:colOff>
          <xdr:row>36</xdr:row>
          <xdr:rowOff>28440</xdr:rowOff>
        </xdr:to>
        <xdr:sp>
          <xdr:nvSpPr>
            <xdr:cNvPr id="1149" name="Check Box 90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34</xdr:row>
          <xdr:rowOff>152280</xdr:rowOff>
        </xdr:from>
        <xdr:to>
          <xdr:col>23</xdr:col>
          <xdr:colOff>-311040</xdr:colOff>
          <xdr:row>36</xdr:row>
          <xdr:rowOff>19080</xdr:rowOff>
        </xdr:to>
        <xdr:sp>
          <xdr:nvSpPr>
            <xdr:cNvPr id="1150" name="Check Box 90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35</xdr:row>
          <xdr:rowOff>171360</xdr:rowOff>
        </xdr:from>
        <xdr:to>
          <xdr:col>22</xdr:col>
          <xdr:colOff>-314280</xdr:colOff>
          <xdr:row>37</xdr:row>
          <xdr:rowOff>28440</xdr:rowOff>
        </xdr:to>
        <xdr:sp>
          <xdr:nvSpPr>
            <xdr:cNvPr id="1151" name="Check Box 90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35</xdr:row>
          <xdr:rowOff>152280</xdr:rowOff>
        </xdr:from>
        <xdr:to>
          <xdr:col>23</xdr:col>
          <xdr:colOff>-311040</xdr:colOff>
          <xdr:row>37</xdr:row>
          <xdr:rowOff>19080</xdr:rowOff>
        </xdr:to>
        <xdr:sp>
          <xdr:nvSpPr>
            <xdr:cNvPr id="1152" name="Check Box 90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36</xdr:row>
          <xdr:rowOff>171360</xdr:rowOff>
        </xdr:from>
        <xdr:to>
          <xdr:col>22</xdr:col>
          <xdr:colOff>-314280</xdr:colOff>
          <xdr:row>38</xdr:row>
          <xdr:rowOff>28440</xdr:rowOff>
        </xdr:to>
        <xdr:sp>
          <xdr:nvSpPr>
            <xdr:cNvPr id="1153" name="Check Box 90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36</xdr:row>
          <xdr:rowOff>152280</xdr:rowOff>
        </xdr:from>
        <xdr:to>
          <xdr:col>23</xdr:col>
          <xdr:colOff>-311040</xdr:colOff>
          <xdr:row>38</xdr:row>
          <xdr:rowOff>19080</xdr:rowOff>
        </xdr:to>
        <xdr:sp>
          <xdr:nvSpPr>
            <xdr:cNvPr id="1154" name="Check Box 90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37</xdr:row>
          <xdr:rowOff>171360</xdr:rowOff>
        </xdr:from>
        <xdr:to>
          <xdr:col>22</xdr:col>
          <xdr:colOff>-314280</xdr:colOff>
          <xdr:row>39</xdr:row>
          <xdr:rowOff>19080</xdr:rowOff>
        </xdr:to>
        <xdr:sp>
          <xdr:nvSpPr>
            <xdr:cNvPr id="1155" name="Check Box 90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37</xdr:row>
          <xdr:rowOff>152280</xdr:rowOff>
        </xdr:from>
        <xdr:to>
          <xdr:col>23</xdr:col>
          <xdr:colOff>-311040</xdr:colOff>
          <xdr:row>39</xdr:row>
          <xdr:rowOff>19080</xdr:rowOff>
        </xdr:to>
        <xdr:sp>
          <xdr:nvSpPr>
            <xdr:cNvPr id="1156" name="Check Box 9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38</xdr:row>
          <xdr:rowOff>171360</xdr:rowOff>
        </xdr:from>
        <xdr:to>
          <xdr:col>22</xdr:col>
          <xdr:colOff>-314280</xdr:colOff>
          <xdr:row>40</xdr:row>
          <xdr:rowOff>19080</xdr:rowOff>
        </xdr:to>
        <xdr:sp>
          <xdr:nvSpPr>
            <xdr:cNvPr id="1157" name="Check Box 9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38</xdr:row>
          <xdr:rowOff>152280</xdr:rowOff>
        </xdr:from>
        <xdr:to>
          <xdr:col>23</xdr:col>
          <xdr:colOff>-311040</xdr:colOff>
          <xdr:row>40</xdr:row>
          <xdr:rowOff>19080</xdr:rowOff>
        </xdr:to>
        <xdr:sp>
          <xdr:nvSpPr>
            <xdr:cNvPr id="1158" name="Check Box 9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21</xdr:col>
          <xdr:colOff>142920</xdr:colOff>
          <xdr:row>39</xdr:row>
          <xdr:rowOff>171360</xdr:rowOff>
        </xdr:from>
        <xdr:to>
          <xdr:col>22</xdr:col>
          <xdr:colOff>-314280</xdr:colOff>
          <xdr:row>41</xdr:row>
          <xdr:rowOff>19080</xdr:rowOff>
        </xdr:to>
        <xdr:sp>
          <xdr:nvSpPr>
            <xdr:cNvPr id="1159" name="Check Box 9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133200</xdr:colOff>
          <xdr:row>39</xdr:row>
          <xdr:rowOff>152280</xdr:rowOff>
        </xdr:from>
        <xdr:to>
          <xdr:col>23</xdr:col>
          <xdr:colOff>-311040</xdr:colOff>
          <xdr:row>41</xdr:row>
          <xdr:rowOff>19080</xdr:rowOff>
        </xdr:to>
        <xdr:sp>
          <xdr:nvSpPr>
            <xdr:cNvPr id="1160" name="Check Box 914"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AC_Summary" displayName="AC_Summary" ref="A1:D2" headerRowCount="1" totalsRowCount="0" totalsRowShown="0">
  <autoFilter ref="A1:D2"/>
  <tableColumns count="4">
    <tableColumn id="1" name="Date"/>
    <tableColumn id="2" name="Aircraft"/>
    <tableColumn id="3" name="Hours After"/>
    <tableColumn id="4" name="Launches After"/>
  </tableColumns>
</table>
</file>

<file path=xl/tables/table2.xml><?xml version="1.0" encoding="utf-8"?>
<table xmlns="http://schemas.openxmlformats.org/spreadsheetml/2006/main" id="2" name="Aircraft" displayName="Aircraft" ref="A1:B10" headerRowCount="1" totalsRowCount="0" totalsRowShown="0">
  <autoFilter ref="A1:B10"/>
  <tableColumns count="2">
    <tableColumn id="1" name="Number"/>
    <tableColumn id="2" name="Tail Letter"/>
  </tableColumns>
</table>
</file>

<file path=xl/tables/table3.xml><?xml version="1.0" encoding="utf-8"?>
<table xmlns="http://schemas.openxmlformats.org/spreadsheetml/2006/main" id="3" name="Duty" displayName="Duty" ref="D1:D7" headerRowCount="1" totalsRowCount="0" totalsRowShown="0">
  <autoFilter ref="D1:D7"/>
  <tableColumns count="1">
    <tableColumn id="1" name="Duty"/>
  </tableColumns>
</table>
</file>

<file path=xl/tables/table4.xml><?xml version="1.0" encoding="utf-8"?>
<table xmlns="http://schemas.openxmlformats.org/spreadsheetml/2006/main" id="4" name="Formatted" displayName="Formatted" ref="A1:L33" headerRowCount="1" totalsRowCount="0" totalsRowShown="0">
  <autoFilter ref="A1:L33"/>
  <tableColumns count="12">
    <tableColumn id="1" name="AircraftCommander"/>
    <tableColumn id="2" name="2ndPilot"/>
    <tableColumn id="3" name="Duty"/>
    <tableColumn id="4" name="TakeOffTime"/>
    <tableColumn id="5" name="LandingTime"/>
    <tableColumn id="6" name="FlightTime"/>
    <tableColumn id="7" name="SPC"/>
    <tableColumn id="8" name="PLF"/>
    <tableColumn id="9" name="Aircraft"/>
    <tableColumn id="10" name="Date"/>
    <tableColumn id="11" name="P1"/>
    <tableColumn id="12" name="P2"/>
  </tableColumns>
</table>
</file>

<file path=xl/tables/table5.xml><?xml version="1.0" encoding="utf-8"?>
<table xmlns="http://schemas.openxmlformats.org/spreadsheetml/2006/main" id="5" name="Pilots" displayName="Pilots" ref="A15:C43" headerRowCount="1" totalsRowCount="0" totalsRowShown="0">
  <autoFilter ref="A15:C43"/>
  <tableColumns count="3">
    <tableColumn id="1" name="SN Last 4"/>
    <tableColumn id="2" name="Pilot"/>
    <tableColumn id="3" name="Surname"/>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ctrlProp" Target="../ctrlProps/ctrlProps2.xml"/><Relationship Id="rId5" Type="http://schemas.openxmlformats.org/officeDocument/2006/relationships/ctrlProp" Target="../ctrlProps/ctrlProps3.xml"/><Relationship Id="rId6" Type="http://schemas.openxmlformats.org/officeDocument/2006/relationships/ctrlProp" Target="../ctrlProps/ctrlProps4.xml"/><Relationship Id="rId7" Type="http://schemas.openxmlformats.org/officeDocument/2006/relationships/ctrlProp" Target="../ctrlProps/ctrlProps5.xml"/><Relationship Id="rId8" Type="http://schemas.openxmlformats.org/officeDocument/2006/relationships/ctrlProp" Target="../ctrlProps/ctrlProps6.xml"/><Relationship Id="rId9" Type="http://schemas.openxmlformats.org/officeDocument/2006/relationships/ctrlProp" Target="../ctrlProps/ctrlProps7.xml"/><Relationship Id="rId10" Type="http://schemas.openxmlformats.org/officeDocument/2006/relationships/ctrlProp" Target="../ctrlProps/ctrlProps8.xml"/><Relationship Id="rId11" Type="http://schemas.openxmlformats.org/officeDocument/2006/relationships/ctrlProp" Target="../ctrlProps/ctrlProps9.xml"/><Relationship Id="rId12" Type="http://schemas.openxmlformats.org/officeDocument/2006/relationships/ctrlProp" Target="../ctrlProps/ctrlProps10.xml"/><Relationship Id="rId13" Type="http://schemas.openxmlformats.org/officeDocument/2006/relationships/ctrlProp" Target="../ctrlProps/ctrlProps11.xml"/><Relationship Id="rId14" Type="http://schemas.openxmlformats.org/officeDocument/2006/relationships/ctrlProp" Target="../ctrlProps/ctrlProps12.xml"/><Relationship Id="rId15" Type="http://schemas.openxmlformats.org/officeDocument/2006/relationships/ctrlProp" Target="../ctrlProps/ctrlProps13.xml"/><Relationship Id="rId16" Type="http://schemas.openxmlformats.org/officeDocument/2006/relationships/ctrlProp" Target="../ctrlProps/ctrlProps14.xml"/><Relationship Id="rId17" Type="http://schemas.openxmlformats.org/officeDocument/2006/relationships/ctrlProp" Target="../ctrlProps/ctrlProps15.xml"/><Relationship Id="rId18" Type="http://schemas.openxmlformats.org/officeDocument/2006/relationships/ctrlProp" Target="../ctrlProps/ctrlProps16.xml"/><Relationship Id="rId19" Type="http://schemas.openxmlformats.org/officeDocument/2006/relationships/ctrlProp" Target="../ctrlProps/ctrlProps17.xml"/><Relationship Id="rId20" Type="http://schemas.openxmlformats.org/officeDocument/2006/relationships/ctrlProp" Target="../ctrlProps/ctrlProps18.xml"/><Relationship Id="rId21" Type="http://schemas.openxmlformats.org/officeDocument/2006/relationships/ctrlProp" Target="../ctrlProps/ctrlProps19.xml"/><Relationship Id="rId22" Type="http://schemas.openxmlformats.org/officeDocument/2006/relationships/ctrlProp" Target="../ctrlProps/ctrlProps20.xml"/><Relationship Id="rId23" Type="http://schemas.openxmlformats.org/officeDocument/2006/relationships/ctrlProp" Target="../ctrlProps/ctrlProps21.xml"/><Relationship Id="rId24" Type="http://schemas.openxmlformats.org/officeDocument/2006/relationships/ctrlProp" Target="../ctrlProps/ctrlProps22.xml"/><Relationship Id="rId25" Type="http://schemas.openxmlformats.org/officeDocument/2006/relationships/ctrlProp" Target="../ctrlProps/ctrlProps23.xml"/><Relationship Id="rId26" Type="http://schemas.openxmlformats.org/officeDocument/2006/relationships/ctrlProp" Target="../ctrlProps/ctrlProps24.xml"/><Relationship Id="rId27" Type="http://schemas.openxmlformats.org/officeDocument/2006/relationships/ctrlProp" Target="../ctrlProps/ctrlProps25.xml"/><Relationship Id="rId28" Type="http://schemas.openxmlformats.org/officeDocument/2006/relationships/ctrlProp" Target="../ctrlProps/ctrlProps26.xml"/><Relationship Id="rId29" Type="http://schemas.openxmlformats.org/officeDocument/2006/relationships/ctrlProp" Target="../ctrlProps/ctrlProps27.xml"/><Relationship Id="rId30" Type="http://schemas.openxmlformats.org/officeDocument/2006/relationships/ctrlProp" Target="../ctrlProps/ctrlProps28.xml"/><Relationship Id="rId31" Type="http://schemas.openxmlformats.org/officeDocument/2006/relationships/ctrlProp" Target="../ctrlProps/ctrlProps29.xml"/><Relationship Id="rId32" Type="http://schemas.openxmlformats.org/officeDocument/2006/relationships/ctrlProp" Target="../ctrlProps/ctrlProps30.xml"/><Relationship Id="rId33" Type="http://schemas.openxmlformats.org/officeDocument/2006/relationships/ctrlProp" Target="../ctrlProps/ctrlProps31.xml"/><Relationship Id="rId34" Type="http://schemas.openxmlformats.org/officeDocument/2006/relationships/ctrlProp" Target="../ctrlProps/ctrlProps32.xml"/><Relationship Id="rId35" Type="http://schemas.openxmlformats.org/officeDocument/2006/relationships/ctrlProp" Target="../ctrlProps/ctrlProps33.xml"/><Relationship Id="rId36" Type="http://schemas.openxmlformats.org/officeDocument/2006/relationships/ctrlProp" Target="../ctrlProps/ctrlProps34.xml"/><Relationship Id="rId37" Type="http://schemas.openxmlformats.org/officeDocument/2006/relationships/ctrlProp" Target="../ctrlProps/ctrlProps35.xml"/><Relationship Id="rId38" Type="http://schemas.openxmlformats.org/officeDocument/2006/relationships/ctrlProp" Target="../ctrlProps/ctrlProps36.xml"/><Relationship Id="rId39" Type="http://schemas.openxmlformats.org/officeDocument/2006/relationships/ctrlProp" Target="../ctrlProps/ctrlProps37.xml"/><Relationship Id="rId40" Type="http://schemas.openxmlformats.org/officeDocument/2006/relationships/ctrlProp" Target="../ctrlProps/ctrlProps38.xml"/><Relationship Id="rId41" Type="http://schemas.openxmlformats.org/officeDocument/2006/relationships/ctrlProp" Target="../ctrlProps/ctrlProps39.xml"/><Relationship Id="rId42" Type="http://schemas.openxmlformats.org/officeDocument/2006/relationships/ctrlProp" Target="../ctrlProps/ctrlProps40.xml"/><Relationship Id="rId43" Type="http://schemas.openxmlformats.org/officeDocument/2006/relationships/ctrlProp" Target="../ctrlProps/ctrlProps41.xml"/><Relationship Id="rId44" Type="http://schemas.openxmlformats.org/officeDocument/2006/relationships/ctrlProp" Target="../ctrlProps/ctrlProps42.xml"/><Relationship Id="rId45" Type="http://schemas.openxmlformats.org/officeDocument/2006/relationships/ctrlProp" Target="../ctrlProps/ctrlProps43.xml"/><Relationship Id="rId46" Type="http://schemas.openxmlformats.org/officeDocument/2006/relationships/ctrlProp" Target="../ctrlProps/ctrlProps44.xml"/><Relationship Id="rId47" Type="http://schemas.openxmlformats.org/officeDocument/2006/relationships/ctrlProp" Target="../ctrlProps/ctrlProps45.xml"/><Relationship Id="rId48" Type="http://schemas.openxmlformats.org/officeDocument/2006/relationships/ctrlProp" Target="../ctrlProps/ctrlProps46.xml"/><Relationship Id="rId49" Type="http://schemas.openxmlformats.org/officeDocument/2006/relationships/ctrlProp" Target="../ctrlProps/ctrlProps47.xml"/><Relationship Id="rId50" Type="http://schemas.openxmlformats.org/officeDocument/2006/relationships/ctrlProp" Target="../ctrlProps/ctrlProps48.xml"/><Relationship Id="rId51" Type="http://schemas.openxmlformats.org/officeDocument/2006/relationships/ctrlProp" Target="../ctrlProps/ctrlProps49.xml"/><Relationship Id="rId52" Type="http://schemas.openxmlformats.org/officeDocument/2006/relationships/ctrlProp" Target="../ctrlProps/ctrlProps50.xml"/><Relationship Id="rId53" Type="http://schemas.openxmlformats.org/officeDocument/2006/relationships/ctrlProp" Target="../ctrlProps/ctrlProps51.xml"/><Relationship Id="rId54" Type="http://schemas.openxmlformats.org/officeDocument/2006/relationships/ctrlProp" Target="../ctrlProps/ctrlProps52.xml"/><Relationship Id="rId55" Type="http://schemas.openxmlformats.org/officeDocument/2006/relationships/ctrlProp" Target="../ctrlProps/ctrlProps53.xml"/><Relationship Id="rId56" Type="http://schemas.openxmlformats.org/officeDocument/2006/relationships/ctrlProp" Target="../ctrlProps/ctrlProps54.xml"/><Relationship Id="rId57" Type="http://schemas.openxmlformats.org/officeDocument/2006/relationships/ctrlProp" Target="../ctrlProps/ctrlProps55.xml"/><Relationship Id="rId58" Type="http://schemas.openxmlformats.org/officeDocument/2006/relationships/ctrlProp" Target="../ctrlProps/ctrlProps56.xml"/><Relationship Id="rId59" Type="http://schemas.openxmlformats.org/officeDocument/2006/relationships/ctrlProp" Target="../ctrlProps/ctrlProps57.xml"/><Relationship Id="rId60" Type="http://schemas.openxmlformats.org/officeDocument/2006/relationships/ctrlProp" Target="../ctrlProps/ctrlProps58.xml"/><Relationship Id="rId61" Type="http://schemas.openxmlformats.org/officeDocument/2006/relationships/ctrlProp" Target="../ctrlProps/ctrlProps59.xml"/><Relationship Id="rId62" Type="http://schemas.openxmlformats.org/officeDocument/2006/relationships/ctrlProp" Target="../ctrlProps/ctrlProps60.xml"/><Relationship Id="rId63" Type="http://schemas.openxmlformats.org/officeDocument/2006/relationships/ctrlProp" Target="../ctrlProps/ctrlProps61.xml"/><Relationship Id="rId64" Type="http://schemas.openxmlformats.org/officeDocument/2006/relationships/ctrlProp" Target="../ctrlProps/ctrlProps62.xml"/><Relationship Id="rId65" Type="http://schemas.openxmlformats.org/officeDocument/2006/relationships/ctrlProp" Target="../ctrlProps/ctrlProps63.xml"/><Relationship Id="rId66" Type="http://schemas.openxmlformats.org/officeDocument/2006/relationships/ctrlProp" Target="../ctrlProps/ctrlProps64.xml"/><Relationship Id="rId67" Type="http://schemas.openxmlformats.org/officeDocument/2006/relationships/ctrlProp" Target="../ctrlProps/ctrlProps65.xml"/><Relationship Id="rId68" Type="http://schemas.openxmlformats.org/officeDocument/2006/relationships/ctrlProp" Target="../ctrlProps/ctrlProps66.xml"/><Relationship Id="rId69" Type="http://schemas.openxmlformats.org/officeDocument/2006/relationships/ctrlProp" Target="../ctrlProps/ctrlProps67.xml"/><Relationship Id="rId70" Type="http://schemas.openxmlformats.org/officeDocument/2006/relationships/ctrlProp" Target="../ctrlProps/ctrlProps68.xml"/><Relationship Id="rId71" Type="http://schemas.openxmlformats.org/officeDocument/2006/relationships/ctrlProp" Target="../ctrlProps/ctrlProps69.xml"/><Relationship Id="rId72" Type="http://schemas.openxmlformats.org/officeDocument/2006/relationships/ctrlProp" Target="../ctrlProps/ctrlProps70.xml"/><Relationship Id="rId73" Type="http://schemas.openxmlformats.org/officeDocument/2006/relationships/ctrlProp" Target="../ctrlProps/ctrlProps71.xml"/><Relationship Id="rId74" Type="http://schemas.openxmlformats.org/officeDocument/2006/relationships/ctrlProp" Target="../ctrlProps/ctrlProps72.xml"/><Relationship Id="rId75" Type="http://schemas.openxmlformats.org/officeDocument/2006/relationships/ctrlProp" Target="../ctrlProps/ctrlProps73.xml"/><Relationship Id="rId76" Type="http://schemas.openxmlformats.org/officeDocument/2006/relationships/ctrlProp" Target="../ctrlProps/ctrlProps74.xml"/><Relationship Id="rId77" Type="http://schemas.openxmlformats.org/officeDocument/2006/relationships/ctrlProp" Target="../ctrlProps/ctrlProps75.xml"/><Relationship Id="rId78" Type="http://schemas.openxmlformats.org/officeDocument/2006/relationships/ctrlProp" Target="../ctrlProps/ctrlProps76.xml"/><Relationship Id="rId79" Type="http://schemas.openxmlformats.org/officeDocument/2006/relationships/ctrlProp" Target="../ctrlProps/ctrlProps77.xml"/><Relationship Id="rId80" Type="http://schemas.openxmlformats.org/officeDocument/2006/relationships/ctrlProp" Target="../ctrlProps/ctrlProps78.xml"/><Relationship Id="rId81" Type="http://schemas.openxmlformats.org/officeDocument/2006/relationships/ctrlProp" Target="../ctrlProps/ctrlProps79.xml"/><Relationship Id="rId82" Type="http://schemas.openxmlformats.org/officeDocument/2006/relationships/ctrlProp" Target="../ctrlProps/ctrlProps80.xml"/><Relationship Id="rId83" Type="http://schemas.openxmlformats.org/officeDocument/2006/relationships/ctrlProp" Target="../ctrlProps/ctrlProps81.xml"/><Relationship Id="rId84" Type="http://schemas.openxmlformats.org/officeDocument/2006/relationships/ctrlProp" Target="../ctrlProps/ctrlProps82.xml"/><Relationship Id="rId85" Type="http://schemas.openxmlformats.org/officeDocument/2006/relationships/ctrlProp" Target="../ctrlProps/ctrlProps83.xml"/><Relationship Id="rId86" Type="http://schemas.openxmlformats.org/officeDocument/2006/relationships/ctrlProp" Target="../ctrlProps/ctrlProps84.xml"/><Relationship Id="rId87" Type="http://schemas.openxmlformats.org/officeDocument/2006/relationships/ctrlProp" Target="../ctrlProps/ctrlProps85.xml"/><Relationship Id="rId88" Type="http://schemas.openxmlformats.org/officeDocument/2006/relationships/ctrlProp" Target="../ctrlProps/ctrlProps86.xml"/><Relationship Id="rId89" Type="http://schemas.openxmlformats.org/officeDocument/2006/relationships/ctrlProp" Target="../ctrlProps/ctrlProps87.xml"/><Relationship Id="rId90" Type="http://schemas.openxmlformats.org/officeDocument/2006/relationships/ctrlProp" Target="../ctrlProps/ctrlProps88.xml"/><Relationship Id="rId91" Type="http://schemas.openxmlformats.org/officeDocument/2006/relationships/ctrlProp" Target="../ctrlProps/ctrlProps89.xml"/><Relationship Id="rId92" Type="http://schemas.openxmlformats.org/officeDocument/2006/relationships/ctrlProp" Target="../ctrlProps/ctrlProps90.xml"/><Relationship Id="rId93" Type="http://schemas.openxmlformats.org/officeDocument/2006/relationships/ctrlProp" Target="../ctrlProps/ctrlProps91.xml"/><Relationship Id="rId94" Type="http://schemas.openxmlformats.org/officeDocument/2006/relationships/ctrlProp" Target="../ctrlProps/ctrlProps92.xml"/><Relationship Id="rId95" Type="http://schemas.openxmlformats.org/officeDocument/2006/relationships/ctrlProp" Target="../ctrlProps/ctrlProps93.xml"/><Relationship Id="rId96" Type="http://schemas.openxmlformats.org/officeDocument/2006/relationships/ctrlProp" Target="../ctrlProps/ctrlProps94.xml"/><Relationship Id="rId97" Type="http://schemas.openxmlformats.org/officeDocument/2006/relationships/ctrlProp" Target="../ctrlProps/ctrlProps95.xml"/><Relationship Id="rId98" Type="http://schemas.openxmlformats.org/officeDocument/2006/relationships/ctrlProp" Target="../ctrlProps/ctrlProps96.xml"/><Relationship Id="rId99" Type="http://schemas.openxmlformats.org/officeDocument/2006/relationships/ctrlProp" Target="../ctrlProps/ctrlProps97.xml"/><Relationship Id="rId100" Type="http://schemas.openxmlformats.org/officeDocument/2006/relationships/ctrlProp" Target="../ctrlProps/ctrlProps98.xml"/><Relationship Id="rId101" Type="http://schemas.openxmlformats.org/officeDocument/2006/relationships/ctrlProp" Target="../ctrlProps/ctrlProps99.xml"/><Relationship Id="rId102" Type="http://schemas.openxmlformats.org/officeDocument/2006/relationships/ctrlProp" Target="../ctrlProps/ctrlProps100.xml"/><Relationship Id="rId103" Type="http://schemas.openxmlformats.org/officeDocument/2006/relationships/ctrlProp" Target="../ctrlProps/ctrlProps101.xml"/><Relationship Id="rId104" Type="http://schemas.openxmlformats.org/officeDocument/2006/relationships/ctrlProp" Target="../ctrlProps/ctrlProps102.xml"/><Relationship Id="rId105" Type="http://schemas.openxmlformats.org/officeDocument/2006/relationships/ctrlProp" Target="../ctrlProps/ctrlProps103.xml"/><Relationship Id="rId106" Type="http://schemas.openxmlformats.org/officeDocument/2006/relationships/ctrlProp" Target="../ctrlProps/ctrlProps104.xml"/><Relationship Id="rId107" Type="http://schemas.openxmlformats.org/officeDocument/2006/relationships/ctrlProp" Target="../ctrlProps/ctrlProps105.xml"/><Relationship Id="rId108" Type="http://schemas.openxmlformats.org/officeDocument/2006/relationships/ctrlProp" Target="../ctrlProps/ctrlProps106.xml"/><Relationship Id="rId109" Type="http://schemas.openxmlformats.org/officeDocument/2006/relationships/ctrlProp" Target="../ctrlProps/ctrlProps107.xml"/><Relationship Id="rId110" Type="http://schemas.openxmlformats.org/officeDocument/2006/relationships/ctrlProp" Target="../ctrlProps/ctrlProps108.xml"/><Relationship Id="rId111" Type="http://schemas.openxmlformats.org/officeDocument/2006/relationships/ctrlProp" Target="../ctrlProps/ctrlProps109.xml"/><Relationship Id="rId112" Type="http://schemas.openxmlformats.org/officeDocument/2006/relationships/ctrlProp" Target="../ctrlProps/ctrlProps110.xml"/><Relationship Id="rId113" Type="http://schemas.openxmlformats.org/officeDocument/2006/relationships/ctrlProp" Target="../ctrlProps/ctrlProps111.xml"/><Relationship Id="rId114" Type="http://schemas.openxmlformats.org/officeDocument/2006/relationships/ctrlProp" Target="../ctrlProps/ctrlProps112.xml"/><Relationship Id="rId115" Type="http://schemas.openxmlformats.org/officeDocument/2006/relationships/ctrlProp" Target="../ctrlProps/ctrlProps113.xml"/><Relationship Id="rId116" Type="http://schemas.openxmlformats.org/officeDocument/2006/relationships/ctrlProp" Target="../ctrlProps/ctrlProps114.xml"/><Relationship Id="rId117" Type="http://schemas.openxmlformats.org/officeDocument/2006/relationships/ctrlProp" Target="../ctrlProps/ctrlProps115.xml"/><Relationship Id="rId118" Type="http://schemas.openxmlformats.org/officeDocument/2006/relationships/ctrlProp" Target="../ctrlProps/ctrlProps116.xml"/><Relationship Id="rId119" Type="http://schemas.openxmlformats.org/officeDocument/2006/relationships/ctrlProp" Target="../ctrlProps/ctrlProps117.xml"/><Relationship Id="rId120" Type="http://schemas.openxmlformats.org/officeDocument/2006/relationships/ctrlProp" Target="../ctrlProps/ctrlProps118.xml"/><Relationship Id="rId121" Type="http://schemas.openxmlformats.org/officeDocument/2006/relationships/ctrlProp" Target="../ctrlProps/ctrlProps119.xml"/><Relationship Id="rId122" Type="http://schemas.openxmlformats.org/officeDocument/2006/relationships/ctrlProp" Target="../ctrlProps/ctrlProps120.xml"/><Relationship Id="rId123" Type="http://schemas.openxmlformats.org/officeDocument/2006/relationships/ctrlProp" Target="../ctrlProps/ctrlProps121.xml"/><Relationship Id="rId124" Type="http://schemas.openxmlformats.org/officeDocument/2006/relationships/ctrlProp" Target="../ctrlProps/ctrlProps122.xml"/><Relationship Id="rId125" Type="http://schemas.openxmlformats.org/officeDocument/2006/relationships/ctrlProp" Target="../ctrlProps/ctrlProps123.xml"/><Relationship Id="rId126" Type="http://schemas.openxmlformats.org/officeDocument/2006/relationships/ctrlProp" Target="../ctrlProps/ctrlProps124.xml"/><Relationship Id="rId127" Type="http://schemas.openxmlformats.org/officeDocument/2006/relationships/ctrlProp" Target="../ctrlProps/ctrlProps125.xml"/><Relationship Id="rId128" Type="http://schemas.openxmlformats.org/officeDocument/2006/relationships/ctrlProp" Target="../ctrlProps/ctrlProps126.xml"/><Relationship Id="rId129" Type="http://schemas.openxmlformats.org/officeDocument/2006/relationships/ctrlProp" Target="../ctrlProps/ctrlProps127.xml"/><Relationship Id="rId130" Type="http://schemas.openxmlformats.org/officeDocument/2006/relationships/ctrlProp" Target="../ctrlProps/ctrlProps128.xml"/><Relationship Id="rId131" Type="http://schemas.openxmlformats.org/officeDocument/2006/relationships/ctrlProp" Target="../ctrlProps/ctrlProps129.xml"/><Relationship Id="rId132" Type="http://schemas.openxmlformats.org/officeDocument/2006/relationships/ctrlProp" Target="../ctrlProps/ctrlProps130.xml"/><Relationship Id="rId133" Type="http://schemas.openxmlformats.org/officeDocument/2006/relationships/ctrlProp" Target="../ctrlProps/ctrlProps131.xml"/><Relationship Id="rId134" Type="http://schemas.openxmlformats.org/officeDocument/2006/relationships/ctrlProp" Target="../ctrlProps/ctrlProps132.xml"/><Relationship Id="rId135" Type="http://schemas.openxmlformats.org/officeDocument/2006/relationships/ctrlProp" Target="../ctrlProps/ctrlProps133.xml"/><Relationship Id="rId136" Type="http://schemas.openxmlformats.org/officeDocument/2006/relationships/ctrlProp" Target="../ctrlProps/ctrlProps134.xml"/><Relationship Id="rId137" Type="http://schemas.openxmlformats.org/officeDocument/2006/relationships/ctrlProp" Target="../ctrlProps/ctrlProps135.xml"/><Relationship Id="rId138" Type="http://schemas.openxmlformats.org/officeDocument/2006/relationships/ctrlProp" Target="../ctrlProps/ctrlProps136.xml"/><Relationship Id="rId139" Type="http://schemas.openxmlformats.org/officeDocument/2006/relationships/ctrlProp" Target="../ctrlProps/ctrlProps137.xml"/><Relationship Id="rId140" Type="http://schemas.openxmlformats.org/officeDocument/2006/relationships/ctrlProp" Target="../ctrlProps/ctrlProps138.xml"/><Relationship Id="rId141" Type="http://schemas.openxmlformats.org/officeDocument/2006/relationships/ctrlProp" Target="../ctrlProps/ctrlProps139.xml"/><Relationship Id="rId142" Type="http://schemas.openxmlformats.org/officeDocument/2006/relationships/ctrlProp" Target="../ctrlProps/ctrlProps140.xml"/><Relationship Id="rId143" Type="http://schemas.openxmlformats.org/officeDocument/2006/relationships/ctrlProp" Target="../ctrlProps/ctrlProps141.xml"/><Relationship Id="rId144" Type="http://schemas.openxmlformats.org/officeDocument/2006/relationships/ctrlProp" Target="../ctrlProps/ctrlProps142.xml"/><Relationship Id="rId145" Type="http://schemas.openxmlformats.org/officeDocument/2006/relationships/ctrlProp" Target="../ctrlProps/ctrlProps143.xml"/><Relationship Id="rId146" Type="http://schemas.openxmlformats.org/officeDocument/2006/relationships/ctrlProp" Target="../ctrlProps/ctrlProps144.xml"/><Relationship Id="rId147" Type="http://schemas.openxmlformats.org/officeDocument/2006/relationships/ctrlProp" Target="../ctrlProps/ctrlProps145.xml"/><Relationship Id="rId148" Type="http://schemas.openxmlformats.org/officeDocument/2006/relationships/ctrlProp" Target="../ctrlProps/ctrlProps146.xml"/><Relationship Id="rId149" Type="http://schemas.openxmlformats.org/officeDocument/2006/relationships/ctrlProp" Target="../ctrlProps/ctrlProps147.xml"/><Relationship Id="rId150" Type="http://schemas.openxmlformats.org/officeDocument/2006/relationships/ctrlProp" Target="../ctrlProps/ctrlProps148.xml"/><Relationship Id="rId151" Type="http://schemas.openxmlformats.org/officeDocument/2006/relationships/ctrlProp" Target="../ctrlProps/ctrlProps149.xml"/><Relationship Id="rId152" Type="http://schemas.openxmlformats.org/officeDocument/2006/relationships/ctrlProp" Target="../ctrlProps/ctrlProps150.xml"/><Relationship Id="rId153" Type="http://schemas.openxmlformats.org/officeDocument/2006/relationships/ctrlProp" Target="../ctrlProps/ctrlProps151.xml"/><Relationship Id="rId154" Type="http://schemas.openxmlformats.org/officeDocument/2006/relationships/ctrlProp" Target="../ctrlProps/ctrlProps152.xml"/><Relationship Id="rId155" Type="http://schemas.openxmlformats.org/officeDocument/2006/relationships/ctrlProp" Target="../ctrlProps/ctrlProps153.xml"/><Relationship Id="rId156" Type="http://schemas.openxmlformats.org/officeDocument/2006/relationships/ctrlProp" Target="../ctrlProps/ctrlProps154.xml"/><Relationship Id="rId157" Type="http://schemas.openxmlformats.org/officeDocument/2006/relationships/ctrlProp" Target="../ctrlProps/ctrlProps155.xml"/><Relationship Id="rId158" Type="http://schemas.openxmlformats.org/officeDocument/2006/relationships/ctrlProp" Target="../ctrlProps/ctrlProps156.xml"/><Relationship Id="rId159" Type="http://schemas.openxmlformats.org/officeDocument/2006/relationships/ctrlProp" Target="../ctrlProps/ctrlProps157.xml"/><Relationship Id="rId160" Type="http://schemas.openxmlformats.org/officeDocument/2006/relationships/ctrlProp" Target="../ctrlProps/ctrlProps158.xml"/><Relationship Id="rId161" Type="http://schemas.openxmlformats.org/officeDocument/2006/relationships/ctrlProp" Target="../ctrlProps/ctrlProps159.xml"/><Relationship Id="rId162" Type="http://schemas.openxmlformats.org/officeDocument/2006/relationships/ctrlProp" Target="../ctrlProps/ctrlProps160.xml"/><Relationship Id="rId163" Type="http://schemas.openxmlformats.org/officeDocument/2006/relationships/ctrlProp" Target="../ctrlProps/ctrlProps161.xml"/>
</Relationships>
</file>

<file path=xl/worksheets/_rels/sheet3.xml.rels><?xml version="1.0" encoding="UTF-8"?>
<Relationships xmlns="http://schemas.openxmlformats.org/package/2006/relationships"><Relationship Id="rId1" Type="http://schemas.openxmlformats.org/officeDocument/2006/relationships/hyperlink" Target="https://viking.streamlit.app/" TargetMode="External"/>
</Relationships>
</file>

<file path=xl/worksheets/_rels/sheet5.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49"/>
  <sheetViews>
    <sheetView showFormulas="false" showGridLines="false" showRowColHeaders="true" showZeros="true" rightToLeft="false" tabSelected="true" showOutlineSymbols="true" defaultGridColor="true" view="normal" topLeftCell="A1" colorId="64" zoomScale="100" zoomScaleNormal="100" zoomScalePageLayoutView="115" workbookViewId="0">
      <pane xSplit="0" ySplit="9" topLeftCell="A10" activePane="bottomLeft" state="frozen"/>
      <selection pane="topLeft" activeCell="A1" activeCellId="0" sqref="A1"/>
      <selection pane="bottomLeft" activeCell="C25" activeCellId="0" sqref="C25"/>
    </sheetView>
  </sheetViews>
  <sheetFormatPr defaultColWidth="8.57421875" defaultRowHeight="14.25" zeroHeight="false" outlineLevelRow="0" outlineLevelCol="0"/>
  <cols>
    <col collapsed="false" customWidth="true" hidden="false" outlineLevel="0" max="1" min="1" style="1" width="4.28"/>
    <col collapsed="false" customWidth="true" hidden="false" outlineLevel="0" max="3" min="2" style="1" width="16.57"/>
    <col collapsed="false" customWidth="true" hidden="false" outlineLevel="0" max="4" min="4" style="1" width="9.43"/>
    <col collapsed="false" customWidth="true" hidden="false" outlineLevel="0" max="6" min="5" style="1" width="9.71"/>
    <col collapsed="false" customWidth="true" hidden="false" outlineLevel="0" max="13" min="7" style="1" width="5.57"/>
    <col collapsed="false" customWidth="true" hidden="false" outlineLevel="0" max="14" min="14" style="1" width="6.57"/>
    <col collapsed="false" customWidth="true" hidden="false" outlineLevel="0" max="18" min="15" style="1" width="5.57"/>
    <col collapsed="false" customWidth="true" hidden="false" outlineLevel="0" max="19" min="19" style="1" width="5.28"/>
    <col collapsed="false" customWidth="true" hidden="false" outlineLevel="0" max="20" min="20" style="1" width="7.43"/>
    <col collapsed="false" customWidth="true" hidden="true" outlineLevel="0" max="21" min="21" style="1" width="10"/>
    <col collapsed="false" customWidth="true" hidden="false" outlineLevel="0" max="22" min="22" style="1" width="7.71"/>
    <col collapsed="false" customWidth="true" hidden="false" outlineLevel="0" max="23" min="23" style="1" width="7.57"/>
    <col collapsed="false" customWidth="false" hidden="false" outlineLevel="0" max="1024" min="24" style="1" width="8.57"/>
  </cols>
  <sheetData>
    <row r="1" customFormat="false" ht="5.25" hidden="false" customHeight="true" outlineLevel="0" collapsed="false"/>
    <row r="2" customFormat="false" ht="14.25" hidden="false" customHeight="true" outlineLevel="0" collapsed="false">
      <c r="C2" s="2" t="s">
        <v>0</v>
      </c>
      <c r="D2" s="3" t="s">
        <v>1</v>
      </c>
      <c r="E2" s="3"/>
      <c r="F2" s="4" t="s">
        <v>2</v>
      </c>
      <c r="G2" s="5"/>
      <c r="H2" s="3" t="s">
        <v>3</v>
      </c>
      <c r="I2" s="3"/>
      <c r="J2" s="3"/>
      <c r="K2" s="3"/>
      <c r="L2" s="5" t="str">
        <f aca="false">IF($F2="", "",VLOOKUP(F2,Aircraft[#all],2,FALSE()))</f>
        <v>XX</v>
      </c>
      <c r="N2" s="5" t="s">
        <v>4</v>
      </c>
      <c r="O2" s="6" t="n">
        <v>46067</v>
      </c>
      <c r="P2" s="6"/>
      <c r="Q2" s="6"/>
    </row>
    <row r="3" customFormat="false" ht="6" hidden="false" customHeight="true" outlineLevel="0" collapsed="false">
      <c r="C3" s="2"/>
      <c r="D3" s="7"/>
      <c r="E3" s="7"/>
      <c r="F3" s="8"/>
      <c r="G3" s="9"/>
      <c r="H3" s="9"/>
      <c r="I3" s="9"/>
      <c r="J3" s="9"/>
      <c r="K3" s="9"/>
      <c r="L3" s="9"/>
      <c r="M3" s="9"/>
      <c r="N3" s="9"/>
      <c r="O3" s="9"/>
      <c r="P3" s="9"/>
      <c r="Q3" s="9"/>
      <c r="R3" s="9"/>
      <c r="S3" s="9"/>
      <c r="T3" s="9"/>
      <c r="U3" s="8"/>
    </row>
    <row r="4" customFormat="false" ht="30" hidden="false" customHeight="true" outlineLevel="0" collapsed="false">
      <c r="B4" s="10" t="s">
        <v>5</v>
      </c>
      <c r="C4" s="11" t="n">
        <v>119.907638888889</v>
      </c>
      <c r="D4" s="7"/>
      <c r="E4" s="12"/>
      <c r="F4" s="13"/>
      <c r="H4" s="14"/>
      <c r="I4" s="14"/>
      <c r="J4" s="14"/>
      <c r="K4" s="12"/>
      <c r="L4" s="12"/>
      <c r="M4" s="12"/>
      <c r="N4" s="12"/>
      <c r="O4" s="15"/>
      <c r="P4" s="15"/>
      <c r="Q4" s="15"/>
      <c r="R4" s="15"/>
      <c r="S4" s="16"/>
      <c r="T4" s="16"/>
      <c r="U4" s="16"/>
    </row>
    <row r="5" customFormat="false" ht="30" hidden="false" customHeight="true" outlineLevel="0" collapsed="false">
      <c r="B5" s="10" t="s">
        <v>6</v>
      </c>
      <c r="C5" s="17" t="n">
        <v>22503</v>
      </c>
      <c r="D5" s="7"/>
      <c r="E5" s="18" t="s">
        <v>7</v>
      </c>
      <c r="F5" s="18"/>
      <c r="G5" s="19"/>
      <c r="H5" s="19"/>
      <c r="I5" s="14"/>
      <c r="J5" s="14"/>
      <c r="K5" s="20"/>
      <c r="L5" s="20"/>
      <c r="M5" s="21"/>
      <c r="N5" s="21"/>
      <c r="O5" s="15"/>
      <c r="P5" s="15"/>
      <c r="Q5" s="15"/>
      <c r="R5" s="22" t="s">
        <v>8</v>
      </c>
      <c r="S5" s="22"/>
      <c r="T5" s="22"/>
      <c r="U5" s="21"/>
    </row>
    <row r="6" customFormat="false" ht="7.5" hidden="false" customHeight="true" outlineLevel="0" collapsed="false">
      <c r="C6" s="2"/>
      <c r="D6" s="7"/>
      <c r="E6" s="23"/>
      <c r="F6" s="23"/>
      <c r="G6" s="24"/>
      <c r="H6" s="24"/>
      <c r="I6" s="25"/>
      <c r="J6" s="25"/>
      <c r="K6" s="25"/>
      <c r="L6" s="25"/>
      <c r="M6" s="26"/>
      <c r="N6" s="26"/>
      <c r="O6" s="27"/>
      <c r="P6" s="27"/>
      <c r="Q6" s="27"/>
      <c r="R6" s="27"/>
      <c r="S6" s="26"/>
      <c r="T6" s="26"/>
      <c r="U6" s="26"/>
    </row>
    <row r="7" customFormat="false" ht="12" hidden="false" customHeight="true" outlineLevel="0" collapsed="false">
      <c r="A7" s="28" t="s">
        <v>9</v>
      </c>
      <c r="B7" s="29"/>
      <c r="C7" s="30"/>
      <c r="D7" s="31"/>
      <c r="E7" s="32"/>
      <c r="F7" s="33"/>
      <c r="G7" s="34" t="s">
        <v>10</v>
      </c>
      <c r="H7" s="34"/>
      <c r="I7" s="34"/>
      <c r="J7" s="35" t="s">
        <v>11</v>
      </c>
      <c r="K7" s="35"/>
      <c r="L7" s="36" t="s">
        <v>12</v>
      </c>
      <c r="M7" s="36"/>
      <c r="N7" s="37" t="s">
        <v>13</v>
      </c>
      <c r="O7" s="37" t="s">
        <v>14</v>
      </c>
      <c r="P7" s="38" t="s">
        <v>15</v>
      </c>
      <c r="Q7" s="38"/>
      <c r="R7" s="38"/>
      <c r="S7" s="39" t="s">
        <v>16</v>
      </c>
      <c r="T7" s="37" t="s">
        <v>17</v>
      </c>
    </row>
    <row r="8" customFormat="false" ht="13.5" hidden="false" customHeight="true" outlineLevel="0" collapsed="false">
      <c r="A8" s="28"/>
      <c r="B8" s="40"/>
      <c r="C8" s="41"/>
      <c r="D8" s="42"/>
      <c r="E8" s="43"/>
      <c r="F8" s="43"/>
      <c r="G8" s="44" t="s">
        <v>18</v>
      </c>
      <c r="H8" s="45" t="s">
        <v>19</v>
      </c>
      <c r="I8" s="46" t="s">
        <v>20</v>
      </c>
      <c r="J8" s="44" t="s">
        <v>21</v>
      </c>
      <c r="K8" s="47" t="s">
        <v>22</v>
      </c>
      <c r="L8" s="36"/>
      <c r="M8" s="36"/>
      <c r="N8" s="37"/>
      <c r="O8" s="37"/>
      <c r="P8" s="38"/>
      <c r="Q8" s="38"/>
      <c r="R8" s="38"/>
      <c r="S8" s="39"/>
      <c r="T8" s="37"/>
    </row>
    <row r="9" customFormat="false" ht="30" hidden="false" customHeight="true" outlineLevel="0" collapsed="false">
      <c r="A9" s="28"/>
      <c r="B9" s="40" t="s">
        <v>23</v>
      </c>
      <c r="C9" s="40" t="s">
        <v>24</v>
      </c>
      <c r="D9" s="48" t="s">
        <v>25</v>
      </c>
      <c r="E9" s="49" t="s">
        <v>26</v>
      </c>
      <c r="F9" s="49" t="s">
        <v>27</v>
      </c>
      <c r="G9" s="50" t="s">
        <v>28</v>
      </c>
      <c r="H9" s="51" t="s">
        <v>29</v>
      </c>
      <c r="I9" s="52" t="s">
        <v>30</v>
      </c>
      <c r="J9" s="50" t="s">
        <v>31</v>
      </c>
      <c r="K9" s="53" t="s">
        <v>32</v>
      </c>
      <c r="L9" s="50" t="s">
        <v>33</v>
      </c>
      <c r="M9" s="52" t="s">
        <v>34</v>
      </c>
      <c r="N9" s="37"/>
      <c r="O9" s="37"/>
      <c r="P9" s="50" t="n">
        <v>1</v>
      </c>
      <c r="Q9" s="51" t="n">
        <v>6</v>
      </c>
      <c r="R9" s="52" t="n">
        <v>7</v>
      </c>
      <c r="S9" s="39"/>
      <c r="T9" s="37"/>
      <c r="U9" s="1" t="s">
        <v>35</v>
      </c>
      <c r="V9" s="1" t="s">
        <v>36</v>
      </c>
      <c r="W9" s="54" t="s">
        <v>37</v>
      </c>
    </row>
    <row r="10" customFormat="false" ht="14.25" hidden="false" customHeight="false" outlineLevel="0" collapsed="false">
      <c r="A10" s="55" t="n">
        <v>1</v>
      </c>
      <c r="B10" s="56" t="s">
        <v>38</v>
      </c>
      <c r="C10" s="57" t="s">
        <v>39</v>
      </c>
      <c r="D10" s="58" t="s">
        <v>18</v>
      </c>
      <c r="E10" s="59" t="n">
        <v>0.458333333333333</v>
      </c>
      <c r="F10" s="59" t="n">
        <v>0.463888888888889</v>
      </c>
      <c r="G10" s="60" t="n">
        <f aca="false">IF($D10="","",IF($D10=G$8,$F10-$E10,""))</f>
        <v>0.00555555555555559</v>
      </c>
      <c r="H10" s="61" t="str">
        <f aca="false">IF($D10="","",IF($D10=H$8,$F10-$E10,""))</f>
        <v/>
      </c>
      <c r="I10" s="62" t="str">
        <f aca="false">IF($D10="","",IF($D10=I$8,$F10-$E10,""))</f>
        <v/>
      </c>
      <c r="J10" s="63" t="str">
        <f aca="false">IF($D10="","",IF($D10=CONCATENATE(J$7," ",J$8),$F10-$E10,""))</f>
        <v/>
      </c>
      <c r="K10" s="64" t="str">
        <f aca="false">IF($D10="","",IF($D10=CONCATENATE(J$7," ",K$8),$F10-$E10,""))</f>
        <v/>
      </c>
      <c r="L10" s="65"/>
      <c r="M10" s="58"/>
      <c r="N10" s="66" t="str">
        <f aca="false">IF($D10="","",IF($D10="PAX",$F10-$E10,""))</f>
        <v/>
      </c>
      <c r="O10" s="67" t="n">
        <f aca="false">IF(ISBLANK(F10),"",IF(W10=TRUE(),7,IF(V10=TRUE(),6,1)))</f>
        <v>6</v>
      </c>
      <c r="P10" s="63" t="str">
        <f aca="false">IF($O10=P$9,F10-E10,"")</f>
        <v/>
      </c>
      <c r="Q10" s="61" t="n">
        <f aca="false">IF($O10=6,F10-E10,"")</f>
        <v>0.00555555555555556</v>
      </c>
      <c r="R10" s="64" t="str">
        <f aca="false">IF($O10=R$9,F10-E10,"")</f>
        <v/>
      </c>
      <c r="S10" s="68"/>
      <c r="T10" s="69"/>
      <c r="U10" s="70" t="str">
        <f aca="false">IF($G$5=A10,"Max Launches","")</f>
        <v/>
      </c>
      <c r="V10" s="71" t="b">
        <v>1</v>
      </c>
      <c r="W10" s="72" t="b">
        <f aca="false">FALSE()</f>
        <v>0</v>
      </c>
      <c r="Y10" s="73"/>
      <c r="Z10" s="73"/>
    </row>
    <row r="11" customFormat="false" ht="14.25" hidden="false" customHeight="false" outlineLevel="0" collapsed="false">
      <c r="A11" s="44" t="n">
        <v>2</v>
      </c>
      <c r="B11" s="74" t="s">
        <v>38</v>
      </c>
      <c r="C11" s="75" t="s">
        <v>39</v>
      </c>
      <c r="D11" s="76" t="s">
        <v>18</v>
      </c>
      <c r="E11" s="77" t="n">
        <v>0.469444444444444</v>
      </c>
      <c r="F11" s="77" t="n">
        <v>0.472916666666667</v>
      </c>
      <c r="G11" s="78" t="n">
        <f aca="false">IF($D11="","",IF($D11=G$8,$F11-$E11,""))</f>
        <v>0.00347222222222221</v>
      </c>
      <c r="H11" s="79" t="str">
        <f aca="false">IF($D11="","",IF($D11=H$8,$F11-$E11,""))</f>
        <v/>
      </c>
      <c r="I11" s="80" t="str">
        <f aca="false">IF($D11="","",IF($D11=I$8,$F11-$E11,""))</f>
        <v/>
      </c>
      <c r="J11" s="81" t="str">
        <f aca="false">IF($D11="","",IF($D11=CONCATENATE(J$7," ",J$8),$F11-$E11,""))</f>
        <v/>
      </c>
      <c r="K11" s="82" t="str">
        <f aca="false">IF($D11="","",IF($D11=CONCATENATE(J$7," ",K$8),$F11-$E11,""))</f>
        <v/>
      </c>
      <c r="L11" s="83"/>
      <c r="M11" s="76"/>
      <c r="N11" s="84" t="str">
        <f aca="false">IF($D11="","",IF($D11="PAX",$F11-$E11,""))</f>
        <v/>
      </c>
      <c r="O11" s="85" t="n">
        <f aca="false">IF(ISBLANK(F11), "", IF(W11=TRUE(),7,IF(V11=TRUE(),6,1)))</f>
        <v>1</v>
      </c>
      <c r="P11" s="81" t="n">
        <f aca="false">IF($O11=P$9,F11-E11,"")</f>
        <v>0.00347222222222221</v>
      </c>
      <c r="Q11" s="79" t="str">
        <f aca="false">IF($O11=6,F11-E11,"")</f>
        <v/>
      </c>
      <c r="R11" s="82" t="str">
        <f aca="false">IF($O11=R$9,F11-E11,"")</f>
        <v/>
      </c>
      <c r="S11" s="86"/>
      <c r="T11" s="87"/>
      <c r="U11" s="70" t="str">
        <f aca="false">IF($G$5=A11,"Max Launches","")</f>
        <v/>
      </c>
      <c r="V11" s="88" t="b">
        <f aca="false">FALSE()</f>
        <v>0</v>
      </c>
      <c r="W11" s="88" t="b">
        <f aca="false">FALSE()</f>
        <v>0</v>
      </c>
      <c r="Z11" s="89"/>
    </row>
    <row r="12" customFormat="false" ht="14.25" hidden="false" customHeight="false" outlineLevel="0" collapsed="false">
      <c r="A12" s="44" t="n">
        <v>3</v>
      </c>
      <c r="B12" s="74" t="s">
        <v>38</v>
      </c>
      <c r="C12" s="75" t="s">
        <v>40</v>
      </c>
      <c r="D12" s="76" t="s">
        <v>18</v>
      </c>
      <c r="E12" s="77" t="n">
        <v>0.477777777777778</v>
      </c>
      <c r="F12" s="77" t="n">
        <v>0.48125</v>
      </c>
      <c r="G12" s="78" t="n">
        <f aca="false">IF($D12="","",IF($D12=G$8,$F12-$E12,""))</f>
        <v>0.00347222222222222</v>
      </c>
      <c r="H12" s="79" t="str">
        <f aca="false">IF($D12="","",IF($D12=H$8,$F12-$E12,""))</f>
        <v/>
      </c>
      <c r="I12" s="80" t="str">
        <f aca="false">IF($D12="","",IF($D12=I$8,$F12-$E12,""))</f>
        <v/>
      </c>
      <c r="J12" s="81" t="str">
        <f aca="false">IF($D12="","",IF($D12=CONCATENATE(J$7," ",J$8),$F12-$E12,""))</f>
        <v/>
      </c>
      <c r="K12" s="82" t="str">
        <f aca="false">IF($D12="","",IF($D12=CONCATENATE(J$7," ",K$8),$F12-$E12,""))</f>
        <v/>
      </c>
      <c r="L12" s="83"/>
      <c r="M12" s="76"/>
      <c r="N12" s="84" t="str">
        <f aca="false">IF($D12="","",IF($D12="PAX",$F12-$E12,""))</f>
        <v/>
      </c>
      <c r="O12" s="85" t="n">
        <f aca="false">IF(ISBLANK(F12), "", IF(W12=TRUE(),7,IF(V12=TRUE(),6,1)))</f>
        <v>1</v>
      </c>
      <c r="P12" s="81" t="n">
        <f aca="false">IF($O12=P$9,F12-E12,"")</f>
        <v>0.00347222222222222</v>
      </c>
      <c r="Q12" s="79" t="str">
        <f aca="false">IF($O12=6,F12-E12,"")</f>
        <v/>
      </c>
      <c r="R12" s="82" t="str">
        <f aca="false">IF($O12=R$9,F12-E12,"")</f>
        <v/>
      </c>
      <c r="S12" s="86"/>
      <c r="T12" s="87"/>
      <c r="U12" s="70" t="str">
        <f aca="false">IF($G$5=A12,"Max Launches","")</f>
        <v/>
      </c>
      <c r="V12" s="88" t="b">
        <f aca="false">FALSE()</f>
        <v>0</v>
      </c>
      <c r="W12" s="88" t="b">
        <f aca="false">FALSE()</f>
        <v>0</v>
      </c>
    </row>
    <row r="13" customFormat="false" ht="14.25" hidden="false" customHeight="false" outlineLevel="0" collapsed="false">
      <c r="A13" s="44" t="n">
        <v>4</v>
      </c>
      <c r="B13" s="74" t="s">
        <v>38</v>
      </c>
      <c r="C13" s="75" t="s">
        <v>40</v>
      </c>
      <c r="D13" s="76" t="s">
        <v>18</v>
      </c>
      <c r="E13" s="77" t="n">
        <v>0.486111111111111</v>
      </c>
      <c r="F13" s="77" t="n">
        <v>0.488888888888889</v>
      </c>
      <c r="G13" s="78" t="n">
        <f aca="false">IF($D13="","",IF($D13=G$8,$F13-$E13,""))</f>
        <v>0.00277777777777778</v>
      </c>
      <c r="H13" s="79" t="str">
        <f aca="false">IF($D13="","",IF($D13=H$8,$F13-$E13,""))</f>
        <v/>
      </c>
      <c r="I13" s="80" t="str">
        <f aca="false">IF($D13="","",IF($D13=I$8,$F13-$E13,""))</f>
        <v/>
      </c>
      <c r="J13" s="81" t="str">
        <f aca="false">IF($D13="","",IF($D13=CONCATENATE(J$7," ",J$8),$F13-$E13,""))</f>
        <v/>
      </c>
      <c r="K13" s="82" t="str">
        <f aca="false">IF($D13="","",IF($D13=CONCATENATE(J$7," ",K$8),$F13-$E13,""))</f>
        <v/>
      </c>
      <c r="L13" s="83"/>
      <c r="M13" s="76"/>
      <c r="N13" s="84" t="str">
        <f aca="false">IF($D13="","",IF($D13="PAX",$F13-$E13,""))</f>
        <v/>
      </c>
      <c r="O13" s="85" t="n">
        <f aca="false">IF(ISBLANK(F13), "", IF(W13=TRUE(),7,IF(V13=TRUE(),6,1)))</f>
        <v>1</v>
      </c>
      <c r="P13" s="81" t="n">
        <f aca="false">IF($O13=P$9,F13-E13,"")</f>
        <v>0.00277777777777778</v>
      </c>
      <c r="Q13" s="79" t="str">
        <f aca="false">IF($O13=6,F13-E13,"")</f>
        <v/>
      </c>
      <c r="R13" s="82" t="str">
        <f aca="false">IF($O13=R$9,F13-E13,"")</f>
        <v/>
      </c>
      <c r="S13" s="86"/>
      <c r="T13" s="87"/>
      <c r="U13" s="70" t="str">
        <f aca="false">IF($G$5=A13,"Max Launches","")</f>
        <v/>
      </c>
      <c r="V13" s="88" t="b">
        <f aca="false">FALSE()</f>
        <v>0</v>
      </c>
      <c r="W13" s="88" t="b">
        <f aca="false">FALSE()</f>
        <v>0</v>
      </c>
    </row>
    <row r="14" customFormat="false" ht="15" hidden="false" customHeight="false" outlineLevel="0" collapsed="false">
      <c r="A14" s="90" t="n">
        <v>5</v>
      </c>
      <c r="B14" s="91" t="s">
        <v>38</v>
      </c>
      <c r="C14" s="92" t="s">
        <v>41</v>
      </c>
      <c r="D14" s="93" t="s">
        <v>18</v>
      </c>
      <c r="E14" s="94" t="n">
        <v>0.494444444444444</v>
      </c>
      <c r="F14" s="94" t="n">
        <v>0.498611111111111</v>
      </c>
      <c r="G14" s="95" t="n">
        <f aca="false">IF($D14="","",IF($D14=G$8,$F14-$E14,""))</f>
        <v>0.00416666666666667</v>
      </c>
      <c r="H14" s="96" t="str">
        <f aca="false">IF($D14="","",IF($D14=H$8,$F14-$E14,""))</f>
        <v/>
      </c>
      <c r="I14" s="97" t="str">
        <f aca="false">IF($D14="","",IF($D14=I$8,$F14-$E14,""))</f>
        <v/>
      </c>
      <c r="J14" s="98" t="str">
        <f aca="false">IF($D14="","",IF($D14=CONCATENATE(J$7," ",J$8),$F14-$E14,""))</f>
        <v/>
      </c>
      <c r="K14" s="99" t="str">
        <f aca="false">IF($D14="","",IF($D14=CONCATENATE(J$7," ",K$8),$F14-$E14,""))</f>
        <v/>
      </c>
      <c r="L14" s="100"/>
      <c r="M14" s="93"/>
      <c r="N14" s="101" t="str">
        <f aca="false">IF($D14="","",IF($D14="PAX",$F14-$E14,""))</f>
        <v/>
      </c>
      <c r="O14" s="102" t="n">
        <f aca="false">IF(ISBLANK(F14), "", IF(W14=TRUE(),7,IF(V14=TRUE(),6,1)))</f>
        <v>7</v>
      </c>
      <c r="P14" s="98" t="str">
        <f aca="false">IF($O14=P$9,F14-E14,"")</f>
        <v/>
      </c>
      <c r="Q14" s="96" t="str">
        <f aca="false">IF($O14=6,F14-E14,"")</f>
        <v/>
      </c>
      <c r="R14" s="99" t="n">
        <f aca="false">IF($O14=R$9,F14-E14,"")</f>
        <v>0.00416666666666667</v>
      </c>
      <c r="S14" s="103"/>
      <c r="T14" s="104"/>
      <c r="U14" s="70" t="str">
        <f aca="false">IF($G$5=A14,"Max Launches","")</f>
        <v/>
      </c>
      <c r="V14" s="105" t="b">
        <f aca="false">FALSE()</f>
        <v>0</v>
      </c>
      <c r="W14" s="105" t="b">
        <v>1</v>
      </c>
    </row>
    <row r="15" customFormat="false" ht="14.25" hidden="false" customHeight="false" outlineLevel="0" collapsed="false">
      <c r="A15" s="55" t="n">
        <v>6</v>
      </c>
      <c r="B15" s="56" t="s">
        <v>38</v>
      </c>
      <c r="C15" s="57" t="s">
        <v>41</v>
      </c>
      <c r="D15" s="58" t="s">
        <v>18</v>
      </c>
      <c r="E15" s="59" t="n">
        <v>0.503472222222222</v>
      </c>
      <c r="F15" s="59" t="n">
        <v>0.50625</v>
      </c>
      <c r="G15" s="60" t="n">
        <f aca="false">IF($D15="","",IF($D15=G$8,$F15-$E15,""))</f>
        <v>0.00277777777777778</v>
      </c>
      <c r="H15" s="61" t="str">
        <f aca="false">IF($D15="","",IF($D15=H$8,$F15-$E15,""))</f>
        <v/>
      </c>
      <c r="I15" s="62" t="str">
        <f aca="false">IF($D15="","",IF($D15=I$8,$F15-$E15,""))</f>
        <v/>
      </c>
      <c r="J15" s="63" t="str">
        <f aca="false">IF($D15="","",IF($D15=CONCATENATE(J$7," ",J$8),$F15-$E15,""))</f>
        <v/>
      </c>
      <c r="K15" s="64" t="str">
        <f aca="false">IF($D15="","",IF($D15=CONCATENATE(J$7," ",K$8),$F15-$E15,""))</f>
        <v/>
      </c>
      <c r="L15" s="65"/>
      <c r="M15" s="58"/>
      <c r="N15" s="66" t="str">
        <f aca="false">IF($D15="","",IF($D15="PAX",$F15-$E15,""))</f>
        <v/>
      </c>
      <c r="O15" s="67" t="n">
        <f aca="false">IF(ISBLANK(F15), "", IF(W15=TRUE(),7,IF(V15=TRUE(),6,1)))</f>
        <v>1</v>
      </c>
      <c r="P15" s="63" t="n">
        <f aca="false">IF($O15=P$9,F15-E15,"")</f>
        <v>0.00277777777777778</v>
      </c>
      <c r="Q15" s="61" t="str">
        <f aca="false">IF($O15=6,F15-E15,"")</f>
        <v/>
      </c>
      <c r="R15" s="64" t="str">
        <f aca="false">IF($O15=R$9,F15-E15,"")</f>
        <v/>
      </c>
      <c r="S15" s="68"/>
      <c r="T15" s="69"/>
      <c r="U15" s="70" t="str">
        <f aca="false">IF($G$5=A15,"Max Launches","")</f>
        <v/>
      </c>
      <c r="V15" s="106" t="b">
        <f aca="false">FALSE()</f>
        <v>0</v>
      </c>
      <c r="W15" s="106" t="b">
        <f aca="false">FALSE()</f>
        <v>0</v>
      </c>
    </row>
    <row r="16" customFormat="false" ht="14.25" hidden="false" customHeight="false" outlineLevel="0" collapsed="false">
      <c r="A16" s="44" t="n">
        <v>7</v>
      </c>
      <c r="B16" s="74" t="s">
        <v>38</v>
      </c>
      <c r="C16" s="75" t="s">
        <v>42</v>
      </c>
      <c r="D16" s="76" t="s">
        <v>20</v>
      </c>
      <c r="E16" s="77" t="n">
        <v>0.626388888888889</v>
      </c>
      <c r="F16" s="77" t="n">
        <v>0.629166666666667</v>
      </c>
      <c r="G16" s="78" t="str">
        <f aca="false">IF($D16="","",IF($D16=G$8,$F16-$E16,""))</f>
        <v/>
      </c>
      <c r="H16" s="79" t="str">
        <f aca="false">IF($D16="","",IF($D16=H$8,$F16-$E16,""))</f>
        <v/>
      </c>
      <c r="I16" s="80" t="n">
        <f aca="false">IF($D16="","",IF($D16=I$8,$F16-$E16,""))</f>
        <v>0.00277777777777778</v>
      </c>
      <c r="J16" s="81" t="str">
        <f aca="false">IF($D16="","",IF($D16=CONCATENATE(J$7," ",J$8),$F16-$E16,""))</f>
        <v/>
      </c>
      <c r="K16" s="82" t="str">
        <f aca="false">IF($D16="","",IF($D16=CONCATENATE(J$7," ",K$8),$F16-$E16,""))</f>
        <v/>
      </c>
      <c r="L16" s="83"/>
      <c r="M16" s="76"/>
      <c r="N16" s="84" t="str">
        <f aca="false">IF($D16="","",IF($D16="PAX",$F16-$E16,""))</f>
        <v/>
      </c>
      <c r="O16" s="85" t="n">
        <f aca="false">IF(ISBLANK(F16), "", IF(W16=TRUE(),7,IF(V16=TRUE(),6,1)))</f>
        <v>1</v>
      </c>
      <c r="P16" s="81" t="n">
        <f aca="false">IF($O16=P$9,F16-E16,"")</f>
        <v>0.00277777777777778</v>
      </c>
      <c r="Q16" s="79" t="str">
        <f aca="false">IF($O16=6,F16-E16,"")</f>
        <v/>
      </c>
      <c r="R16" s="82" t="str">
        <f aca="false">IF($O16=R$9,F16-E16,"")</f>
        <v/>
      </c>
      <c r="S16" s="86"/>
      <c r="T16" s="87"/>
      <c r="U16" s="70" t="str">
        <f aca="false">IF($G$5=A16,"Max Launches","")</f>
        <v/>
      </c>
      <c r="V16" s="88" t="b">
        <f aca="false">FALSE()</f>
        <v>0</v>
      </c>
      <c r="W16" s="88" t="b">
        <f aca="false">FALSE()</f>
        <v>0</v>
      </c>
    </row>
    <row r="17" customFormat="false" ht="14.25" hidden="false" customHeight="false" outlineLevel="0" collapsed="false">
      <c r="A17" s="44" t="n">
        <v>8</v>
      </c>
      <c r="B17" s="74" t="s">
        <v>38</v>
      </c>
      <c r="C17" s="75" t="s">
        <v>42</v>
      </c>
      <c r="D17" s="76" t="s">
        <v>20</v>
      </c>
      <c r="E17" s="77" t="n">
        <v>0.636111111111111</v>
      </c>
      <c r="F17" s="77" t="n">
        <v>0.639583333333333</v>
      </c>
      <c r="G17" s="78" t="str">
        <f aca="false">IF($D17="","",IF($D17=G$8,$F17-$E17,""))</f>
        <v/>
      </c>
      <c r="H17" s="79" t="str">
        <f aca="false">IF($D17="","",IF($D17=H$8,$F17-$E17,""))</f>
        <v/>
      </c>
      <c r="I17" s="80" t="n">
        <f aca="false">IF($D17="","",IF($D17=I$8,$F17-$E17,""))</f>
        <v>0.00347222222222222</v>
      </c>
      <c r="J17" s="81" t="str">
        <f aca="false">IF($D17="","",IF($D17=CONCATENATE(J$7," ",J$8),$F17-$E17,""))</f>
        <v/>
      </c>
      <c r="K17" s="82" t="str">
        <f aca="false">IF($D17="","",IF($D17=CONCATENATE(J$7," ",K$8),$F17-$E17,""))</f>
        <v/>
      </c>
      <c r="L17" s="83"/>
      <c r="M17" s="76"/>
      <c r="N17" s="84" t="str">
        <f aca="false">IF($D17="","",IF($D17="PAX",$F17-$E17,""))</f>
        <v/>
      </c>
      <c r="O17" s="85" t="n">
        <f aca="false">IF(ISBLANK(F17), "", IF(W17=TRUE(),7,IF(V17=TRUE(),6,1)))</f>
        <v>1</v>
      </c>
      <c r="P17" s="81" t="n">
        <f aca="false">IF($O17=P$9,F17-E17,"")</f>
        <v>0.00347222222222222</v>
      </c>
      <c r="Q17" s="79" t="str">
        <f aca="false">IF($O17=6,F17-E17,"")</f>
        <v/>
      </c>
      <c r="R17" s="82" t="str">
        <f aca="false">IF($O17=R$9,F17-E17,"")</f>
        <v/>
      </c>
      <c r="S17" s="86"/>
      <c r="T17" s="87"/>
      <c r="U17" s="70" t="str">
        <f aca="false">IF($G$5=A17,"Max Launches","")</f>
        <v/>
      </c>
      <c r="V17" s="88" t="b">
        <f aca="false">FALSE()</f>
        <v>0</v>
      </c>
      <c r="W17" s="88" t="b">
        <f aca="false">FALSE()</f>
        <v>0</v>
      </c>
    </row>
    <row r="18" customFormat="false" ht="14.25" hidden="false" customHeight="false" outlineLevel="0" collapsed="false">
      <c r="A18" s="44" t="n">
        <v>9</v>
      </c>
      <c r="B18" s="74" t="s">
        <v>38</v>
      </c>
      <c r="C18" s="75" t="s">
        <v>42</v>
      </c>
      <c r="D18" s="76" t="s">
        <v>20</v>
      </c>
      <c r="E18" s="77" t="n">
        <v>0.645138888888889</v>
      </c>
      <c r="F18" s="77" t="n">
        <v>0.648611111111111</v>
      </c>
      <c r="G18" s="78" t="str">
        <f aca="false">IF($D18="","",IF($D18=G$8,$F18-$E18,""))</f>
        <v/>
      </c>
      <c r="H18" s="79" t="str">
        <f aca="false">IF($D18="","",IF($D18=H$8,$F18-$E18,""))</f>
        <v/>
      </c>
      <c r="I18" s="80" t="n">
        <f aca="false">IF($D18="","",IF($D18=I$8,$F18-$E18,""))</f>
        <v>0.00347222222222222</v>
      </c>
      <c r="J18" s="81" t="str">
        <f aca="false">IF($D18="","",IF($D18=CONCATENATE(J$7," ",J$8),$F18-$E18,""))</f>
        <v/>
      </c>
      <c r="K18" s="82" t="str">
        <f aca="false">IF($D18="","",IF($D18=CONCATENATE(J$7," ",K$8),$F18-$E18,""))</f>
        <v/>
      </c>
      <c r="L18" s="83"/>
      <c r="M18" s="76"/>
      <c r="N18" s="84" t="str">
        <f aca="false">IF($D18="","",IF($D18="PAX",$F18-$E18,""))</f>
        <v/>
      </c>
      <c r="O18" s="85" t="n">
        <f aca="false">IF(ISBLANK(F18), "", IF(W18=TRUE(),7,IF(V18=TRUE(),6,1)))</f>
        <v>1</v>
      </c>
      <c r="P18" s="81" t="n">
        <f aca="false">IF($O18=P$9,F18-E18,"")</f>
        <v>0.00347222222222222</v>
      </c>
      <c r="Q18" s="79" t="str">
        <f aca="false">IF($O18=6,F18-E18,"")</f>
        <v/>
      </c>
      <c r="R18" s="82" t="str">
        <f aca="false">IF($O18=R$9,F18-E18,"")</f>
        <v/>
      </c>
      <c r="S18" s="86"/>
      <c r="T18" s="87"/>
      <c r="U18" s="70" t="str">
        <f aca="false">IF($G$5=A18,"Max Launches","")</f>
        <v/>
      </c>
      <c r="V18" s="88" t="b">
        <f aca="false">FALSE()</f>
        <v>0</v>
      </c>
      <c r="W18" s="88" t="b">
        <f aca="false">FALSE()</f>
        <v>0</v>
      </c>
    </row>
    <row r="19" customFormat="false" ht="15" hidden="false" customHeight="false" outlineLevel="0" collapsed="false">
      <c r="A19" s="90" t="n">
        <v>10</v>
      </c>
      <c r="B19" s="91" t="s">
        <v>38</v>
      </c>
      <c r="C19" s="92" t="s">
        <v>42</v>
      </c>
      <c r="D19" s="93" t="s">
        <v>20</v>
      </c>
      <c r="E19" s="94" t="n">
        <v>0.65625</v>
      </c>
      <c r="F19" s="94" t="n">
        <v>0.659722222222222</v>
      </c>
      <c r="G19" s="95" t="str">
        <f aca="false">IF($D19="","",IF($D19=G$8,$F19-$E19,""))</f>
        <v/>
      </c>
      <c r="H19" s="96" t="str">
        <f aca="false">IF($D19="","",IF($D19=H$8,$F19-$E19,""))</f>
        <v/>
      </c>
      <c r="I19" s="97" t="n">
        <f aca="false">IF($D19="","",IF($D19=I$8,$F19-$E19,""))</f>
        <v>0.00347222222222222</v>
      </c>
      <c r="J19" s="98" t="str">
        <f aca="false">IF($D19="","",IF($D19=CONCATENATE(J$7," ",J$8),$F19-$E19,""))</f>
        <v/>
      </c>
      <c r="K19" s="99" t="str">
        <f aca="false">IF($D19="","",IF($D19=CONCATENATE(J$7," ",K$8),$F19-$E19,""))</f>
        <v/>
      </c>
      <c r="L19" s="100"/>
      <c r="M19" s="93"/>
      <c r="N19" s="101" t="str">
        <f aca="false">IF($D19="","",IF($D19="PAX",$F19-$E19,""))</f>
        <v/>
      </c>
      <c r="O19" s="102" t="n">
        <f aca="false">IF(ISBLANK(F19), "", IF(W19=TRUE(),7,IF(V19=TRUE(),6,1)))</f>
        <v>1</v>
      </c>
      <c r="P19" s="98" t="n">
        <f aca="false">IF($O19=P$9,F19-E19,"")</f>
        <v>0.00347222222222222</v>
      </c>
      <c r="Q19" s="96" t="str">
        <f aca="false">IF($O19=6,F19-E19,"")</f>
        <v/>
      </c>
      <c r="R19" s="99" t="str">
        <f aca="false">IF($O19=R$9,F19-E19,"")</f>
        <v/>
      </c>
      <c r="S19" s="103"/>
      <c r="T19" s="104"/>
      <c r="U19" s="70" t="str">
        <f aca="false">IF($G$5=A19,"Max Launches","")</f>
        <v/>
      </c>
      <c r="V19" s="105" t="b">
        <f aca="false">FALSE()</f>
        <v>0</v>
      </c>
      <c r="W19" s="105" t="b">
        <f aca="false">FALSE()</f>
        <v>0</v>
      </c>
    </row>
    <row r="20" customFormat="false" ht="14.25" hidden="false" customHeight="false" outlineLevel="0" collapsed="false">
      <c r="A20" s="55" t="n">
        <v>11</v>
      </c>
      <c r="B20" s="56" t="s">
        <v>43</v>
      </c>
      <c r="C20" s="57" t="s">
        <v>42</v>
      </c>
      <c r="D20" s="58" t="s">
        <v>44</v>
      </c>
      <c r="E20" s="59" t="n">
        <v>0.66875</v>
      </c>
      <c r="F20" s="59" t="n">
        <v>0.672222222222222</v>
      </c>
      <c r="G20" s="60" t="str">
        <f aca="false">IF($D20="","",IF($D20=G$8,$F20-$E20,""))</f>
        <v/>
      </c>
      <c r="H20" s="61" t="str">
        <f aca="false">IF($D20="","",IF($D20=H$8,$F20-$E20,""))</f>
        <v/>
      </c>
      <c r="I20" s="62" t="str">
        <f aca="false">IF($D20="","",IF($D20=I$8,$F20-$E20,""))</f>
        <v/>
      </c>
      <c r="J20" s="63" t="n">
        <f aca="false">IF($D20="","",IF($D20=CONCATENATE(J$7," ",J$8),$F20-$E20,""))</f>
        <v>0.00347222222222222</v>
      </c>
      <c r="K20" s="64" t="str">
        <f aca="false">IF($D20="","",IF($D20=CONCATENATE(J$7," ",K$8),$F20-$E20,""))</f>
        <v/>
      </c>
      <c r="L20" s="65"/>
      <c r="M20" s="58"/>
      <c r="N20" s="66" t="str">
        <f aca="false">IF($D20="","",IF($D20="PAX",$F20-$E20,""))</f>
        <v/>
      </c>
      <c r="O20" s="67" t="n">
        <f aca="false">IF(ISBLANK(F20), "", IF(W20=TRUE(),7,IF(V20=TRUE(),6,1)))</f>
        <v>1</v>
      </c>
      <c r="P20" s="63" t="n">
        <f aca="false">IF($O20=P$9,F20-E20,"")</f>
        <v>0.00347222222222222</v>
      </c>
      <c r="Q20" s="61" t="str">
        <f aca="false">IF($O20=6,F20-E20,"")</f>
        <v/>
      </c>
      <c r="R20" s="64" t="str">
        <f aca="false">IF($O20=R$9,F20-E20,"")</f>
        <v/>
      </c>
      <c r="S20" s="68"/>
      <c r="T20" s="69"/>
      <c r="U20" s="70" t="str">
        <f aca="false">IF($G$5=A20,"Max Launches","")</f>
        <v/>
      </c>
      <c r="V20" s="106" t="b">
        <f aca="false">FALSE()</f>
        <v>0</v>
      </c>
      <c r="W20" s="106" t="b">
        <f aca="false">FALSE()</f>
        <v>0</v>
      </c>
    </row>
    <row r="21" customFormat="false" ht="14.25" hidden="false" customHeight="false" outlineLevel="0" collapsed="false">
      <c r="A21" s="44" t="n">
        <v>12</v>
      </c>
      <c r="B21" s="74" t="s">
        <v>43</v>
      </c>
      <c r="C21" s="75" t="s">
        <v>42</v>
      </c>
      <c r="D21" s="76" t="s">
        <v>45</v>
      </c>
      <c r="E21" s="77" t="n">
        <v>0.680555555555556</v>
      </c>
      <c r="F21" s="77" t="n">
        <v>0.684027777777778</v>
      </c>
      <c r="G21" s="78" t="str">
        <f aca="false">IF($D21="","",IF($D21=G$8,$F21-$E21,""))</f>
        <v/>
      </c>
      <c r="H21" s="79" t="str">
        <f aca="false">IF($D21="","",IF($D21=H$8,$F21-$E21,""))</f>
        <v/>
      </c>
      <c r="I21" s="80" t="str">
        <f aca="false">IF($D21="","",IF($D21=I$8,$F21-$E21,""))</f>
        <v/>
      </c>
      <c r="J21" s="81" t="str">
        <f aca="false">IF($D21="","",IF($D21=CONCATENATE(J$7," ",J$8),$F21-$E21,""))</f>
        <v/>
      </c>
      <c r="K21" s="82" t="n">
        <f aca="false">IF($D21="","",IF($D21=CONCATENATE(J$7," ",K$8),$F21-$E21,""))</f>
        <v>0.00347222222222222</v>
      </c>
      <c r="L21" s="83"/>
      <c r="M21" s="76"/>
      <c r="N21" s="84" t="str">
        <f aca="false">IF($D21="","",IF($D21="PAX",$F21-$E21,""))</f>
        <v/>
      </c>
      <c r="O21" s="85" t="n">
        <f aca="false">IF(ISBLANK(F21), "", IF(W21=TRUE(),7,IF(V21=TRUE(),6,1)))</f>
        <v>1</v>
      </c>
      <c r="P21" s="81" t="n">
        <f aca="false">IF($O21=P$9,F21-E21,"")</f>
        <v>0.00347222222222222</v>
      </c>
      <c r="Q21" s="79" t="str">
        <f aca="false">IF($O21=6,F21-E21,"")</f>
        <v/>
      </c>
      <c r="R21" s="82" t="str">
        <f aca="false">IF($O21=R$9,F21-E21,"")</f>
        <v/>
      </c>
      <c r="S21" s="86"/>
      <c r="T21" s="87"/>
      <c r="U21" s="70" t="str">
        <f aca="false">IF($G$5=A21,"Max Launches","")</f>
        <v/>
      </c>
      <c r="V21" s="88" t="b">
        <f aca="false">FALSE()</f>
        <v>0</v>
      </c>
      <c r="W21" s="88" t="b">
        <f aca="false">FALSE()</f>
        <v>0</v>
      </c>
    </row>
    <row r="22" customFormat="false" ht="14.25" hidden="false" customHeight="false" outlineLevel="0" collapsed="false">
      <c r="A22" s="44" t="n">
        <v>13</v>
      </c>
      <c r="B22" s="74" t="s">
        <v>43</v>
      </c>
      <c r="C22" s="75" t="s">
        <v>42</v>
      </c>
      <c r="D22" s="76" t="s">
        <v>46</v>
      </c>
      <c r="E22" s="77" t="n">
        <v>0.690277777777778</v>
      </c>
      <c r="F22" s="77" t="n">
        <v>0.693055555555556</v>
      </c>
      <c r="G22" s="78" t="str">
        <f aca="false">IF($D22="","",IF($D22=G$8,$F22-$E22,""))</f>
        <v/>
      </c>
      <c r="H22" s="79" t="str">
        <f aca="false">IF($D22="","",IF($D22=H$8,$F22-$E22,""))</f>
        <v/>
      </c>
      <c r="I22" s="80" t="str">
        <f aca="false">IF($D22="","",IF($D22=I$8,$F22-$E22,""))</f>
        <v/>
      </c>
      <c r="J22" s="81" t="str">
        <f aca="false">IF($D22="","",IF($D22=CONCATENATE(J$7," ",J$8),$F22-$E22,""))</f>
        <v/>
      </c>
      <c r="K22" s="82" t="str">
        <f aca="false">IF($D22="","",IF($D22=CONCATENATE(J$7," ",K$8),$F22-$E22,""))</f>
        <v/>
      </c>
      <c r="L22" s="83"/>
      <c r="M22" s="76"/>
      <c r="N22" s="84" t="n">
        <f aca="false">IF($D22="","",IF($D22="PAX",$F22-$E22,""))</f>
        <v>0.00277777777777778</v>
      </c>
      <c r="O22" s="85" t="n">
        <f aca="false">IF(ISBLANK(F22), "", IF(W22=TRUE(),7,IF(V22=TRUE(),6,1)))</f>
        <v>1</v>
      </c>
      <c r="P22" s="81" t="n">
        <f aca="false">IF($O22=P$9,F22-E22,"")</f>
        <v>0.00277777777777778</v>
      </c>
      <c r="Q22" s="79" t="str">
        <f aca="false">IF($O22=6,F22-E22,"")</f>
        <v/>
      </c>
      <c r="R22" s="82" t="str">
        <f aca="false">IF($O22=R$9,F22-E22,"")</f>
        <v/>
      </c>
      <c r="S22" s="86"/>
      <c r="T22" s="87"/>
      <c r="U22" s="70" t="str">
        <f aca="false">IF($G$5=A22,"Max Launches","")</f>
        <v/>
      </c>
      <c r="V22" s="88" t="b">
        <f aca="false">FALSE()</f>
        <v>0</v>
      </c>
      <c r="W22" s="88" t="b">
        <f aca="false">FALSE()</f>
        <v>0</v>
      </c>
    </row>
    <row r="23" customFormat="false" ht="14.25" hidden="false" customHeight="false" outlineLevel="0" collapsed="false">
      <c r="A23" s="44" t="n">
        <v>14</v>
      </c>
      <c r="B23" s="74"/>
      <c r="C23" s="75"/>
      <c r="D23" s="76"/>
      <c r="E23" s="77"/>
      <c r="F23" s="77"/>
      <c r="G23" s="78" t="str">
        <f aca="false">IF($D23="","",IF($D23=G$8,$F23-$E23,""))</f>
        <v/>
      </c>
      <c r="H23" s="79" t="str">
        <f aca="false">IF($D23="","",IF($D23=H$8,$F23-$E23,""))</f>
        <v/>
      </c>
      <c r="I23" s="80" t="str">
        <f aca="false">IF($D23="","",IF($D23=I$8,$F23-$E23,""))</f>
        <v/>
      </c>
      <c r="J23" s="81" t="str">
        <f aca="false">IF($D23="","",IF($D23=CONCATENATE(J$7," ",J$8),$F23-$E23,""))</f>
        <v/>
      </c>
      <c r="K23" s="82" t="str">
        <f aca="false">IF($D23="","",IF($D23=CONCATENATE(J$7," ",K$8),$F23-$E23,""))</f>
        <v/>
      </c>
      <c r="L23" s="83"/>
      <c r="M23" s="76"/>
      <c r="N23" s="84" t="str">
        <f aca="false">IF($D23="","",IF($D23="PAX",$F23-$E23,""))</f>
        <v/>
      </c>
      <c r="O23" s="85" t="str">
        <f aca="false">IF(ISBLANK(F23), "", IF(W23=TRUE(),7,IF(V23=TRUE(),6,1)))</f>
        <v/>
      </c>
      <c r="P23" s="81" t="str">
        <f aca="false">IF($O23=P$9,F23-E23,"")</f>
        <v/>
      </c>
      <c r="Q23" s="79" t="str">
        <f aca="false">IF($O23=6,F23-E23,"")</f>
        <v/>
      </c>
      <c r="R23" s="82" t="str">
        <f aca="false">IF($O23=R$9,F23-E23,"")</f>
        <v/>
      </c>
      <c r="S23" s="86"/>
      <c r="T23" s="87"/>
      <c r="U23" s="70" t="str">
        <f aca="false">IF($G$5=A23,"Max Launches","")</f>
        <v/>
      </c>
      <c r="V23" s="88" t="b">
        <f aca="false">FALSE()</f>
        <v>0</v>
      </c>
      <c r="W23" s="88" t="b">
        <f aca="false">FALSE()</f>
        <v>0</v>
      </c>
    </row>
    <row r="24" customFormat="false" ht="15" hidden="false" customHeight="false" outlineLevel="0" collapsed="false">
      <c r="A24" s="90" t="n">
        <v>15</v>
      </c>
      <c r="B24" s="91"/>
      <c r="C24" s="92"/>
      <c r="D24" s="93"/>
      <c r="E24" s="94"/>
      <c r="F24" s="94"/>
      <c r="G24" s="95" t="str">
        <f aca="false">IF($D24="","",IF($D24=G$8,$F24-$E24,""))</f>
        <v/>
      </c>
      <c r="H24" s="96" t="str">
        <f aca="false">IF($D24="","",IF($D24=H$8,$F24-$E24,""))</f>
        <v/>
      </c>
      <c r="I24" s="97" t="str">
        <f aca="false">IF($D24="","",IF($D24=I$8,$F24-$E24,""))</f>
        <v/>
      </c>
      <c r="J24" s="98" t="str">
        <f aca="false">IF($D24="","",IF($D24=CONCATENATE(J$7," ",J$8),$F24-$E24,""))</f>
        <v/>
      </c>
      <c r="K24" s="99" t="str">
        <f aca="false">IF($D24="","",IF($D24=CONCATENATE(J$7," ",K$8),$F24-$E24,""))</f>
        <v/>
      </c>
      <c r="L24" s="100"/>
      <c r="M24" s="93"/>
      <c r="N24" s="101" t="str">
        <f aca="false">IF($D24="","",IF($D24="PAX",$F24-$E24,""))</f>
        <v/>
      </c>
      <c r="O24" s="102" t="str">
        <f aca="false">IF(ISBLANK(F24), "", IF(W24=TRUE(),7,IF(V24=TRUE(),6,1)))</f>
        <v/>
      </c>
      <c r="P24" s="98" t="str">
        <f aca="false">IF($O24=P$9,F24-E24,"")</f>
        <v/>
      </c>
      <c r="Q24" s="96" t="str">
        <f aca="false">IF($O24=6,F24-E24,"")</f>
        <v/>
      </c>
      <c r="R24" s="99" t="str">
        <f aca="false">IF($O24=R$9,F24-E24,"")</f>
        <v/>
      </c>
      <c r="S24" s="103"/>
      <c r="T24" s="104"/>
      <c r="U24" s="70" t="str">
        <f aca="false">IF($G$5=A24,"Max Launches","")</f>
        <v/>
      </c>
      <c r="V24" s="105" t="b">
        <f aca="false">FALSE()</f>
        <v>0</v>
      </c>
      <c r="W24" s="105" t="b">
        <f aca="false">FALSE()</f>
        <v>0</v>
      </c>
    </row>
    <row r="25" customFormat="false" ht="14.25" hidden="false" customHeight="false" outlineLevel="0" collapsed="false">
      <c r="A25" s="55" t="n">
        <v>16</v>
      </c>
      <c r="B25" s="56"/>
      <c r="C25" s="57"/>
      <c r="D25" s="58"/>
      <c r="E25" s="59"/>
      <c r="F25" s="59"/>
      <c r="G25" s="60" t="str">
        <f aca="false">IF($D25="","",IF($D25=G$8,$F25-$E25,""))</f>
        <v/>
      </c>
      <c r="H25" s="61" t="str">
        <f aca="false">IF($D25="","",IF($D25=H$8,$F25-$E25,""))</f>
        <v/>
      </c>
      <c r="I25" s="62" t="str">
        <f aca="false">IF($D25="","",IF($D25=I$8,$F25-$E25,""))</f>
        <v/>
      </c>
      <c r="J25" s="63" t="str">
        <f aca="false">IF($D25="","",IF($D25=CONCATENATE(J$7," ",J$8),$F25-$E25,""))</f>
        <v/>
      </c>
      <c r="K25" s="64" t="str">
        <f aca="false">IF($D25="","",IF($D25=CONCATENATE(J$7," ",K$8),$F25-$E25,""))</f>
        <v/>
      </c>
      <c r="L25" s="65"/>
      <c r="M25" s="58"/>
      <c r="N25" s="66" t="str">
        <f aca="false">IF($D25="","",IF($D25="PAX",$F25-$E25,""))</f>
        <v/>
      </c>
      <c r="O25" s="67" t="str">
        <f aca="false">IF(ISBLANK(F25), "", IF(W25=TRUE(),7,IF(V25=TRUE(),6,1)))</f>
        <v/>
      </c>
      <c r="P25" s="63" t="str">
        <f aca="false">IF($O25=P$9,F25-E25,"")</f>
        <v/>
      </c>
      <c r="Q25" s="61" t="str">
        <f aca="false">IF($O25=6,F25-E25,"")</f>
        <v/>
      </c>
      <c r="R25" s="64" t="str">
        <f aca="false">IF($O25=R$9,F25-E25,"")</f>
        <v/>
      </c>
      <c r="S25" s="68"/>
      <c r="T25" s="69"/>
      <c r="U25" s="70" t="str">
        <f aca="false">IF($G$5=A25,"Max Launches","")</f>
        <v/>
      </c>
      <c r="V25" s="106" t="b">
        <f aca="false">FALSE()</f>
        <v>0</v>
      </c>
      <c r="W25" s="106" t="b">
        <f aca="false">FALSE()</f>
        <v>0</v>
      </c>
    </row>
    <row r="26" customFormat="false" ht="14.25" hidden="false" customHeight="false" outlineLevel="0" collapsed="false">
      <c r="A26" s="44" t="n">
        <v>17</v>
      </c>
      <c r="B26" s="74"/>
      <c r="C26" s="75"/>
      <c r="D26" s="76"/>
      <c r="E26" s="77"/>
      <c r="F26" s="77"/>
      <c r="G26" s="78" t="str">
        <f aca="false">IF($D26="","",IF($D26=G$8,$F26-$E26,""))</f>
        <v/>
      </c>
      <c r="H26" s="79" t="str">
        <f aca="false">IF($D26="","",IF($D26=H$8,$F26-$E26,""))</f>
        <v/>
      </c>
      <c r="I26" s="80" t="str">
        <f aca="false">IF($D26="","",IF($D26=I$8,$F26-$E26,""))</f>
        <v/>
      </c>
      <c r="J26" s="81" t="str">
        <f aca="false">IF($D26="","",IF($D26=CONCATENATE(J$7," ",J$8),$F26-$E26,""))</f>
        <v/>
      </c>
      <c r="K26" s="82" t="str">
        <f aca="false">IF($D26="","",IF($D26=CONCATENATE(J$7," ",K$8),$F26-$E26,""))</f>
        <v/>
      </c>
      <c r="L26" s="83"/>
      <c r="M26" s="76"/>
      <c r="N26" s="84" t="str">
        <f aca="false">IF($D26="","",IF($D26="PAX",$F26-$E26,""))</f>
        <v/>
      </c>
      <c r="O26" s="85" t="str">
        <f aca="false">IF(ISBLANK(F26), "", IF(W26=TRUE(),7,IF(V26=TRUE(),6,1)))</f>
        <v/>
      </c>
      <c r="P26" s="81" t="str">
        <f aca="false">IF($O26=P$9,F26-E26,"")</f>
        <v/>
      </c>
      <c r="Q26" s="79" t="str">
        <f aca="false">IF($O26=6,F26-E26,"")</f>
        <v/>
      </c>
      <c r="R26" s="82" t="str">
        <f aca="false">IF($O26=R$9,F26-E26,"")</f>
        <v/>
      </c>
      <c r="S26" s="86"/>
      <c r="T26" s="87"/>
      <c r="U26" s="70" t="str">
        <f aca="false">IF($G$5=A26,"Max Launches","")</f>
        <v/>
      </c>
      <c r="V26" s="88" t="b">
        <f aca="false">FALSE()</f>
        <v>0</v>
      </c>
      <c r="W26" s="88" t="b">
        <f aca="false">FALSE()</f>
        <v>0</v>
      </c>
    </row>
    <row r="27" customFormat="false" ht="14.25" hidden="false" customHeight="false" outlineLevel="0" collapsed="false">
      <c r="A27" s="44" t="n">
        <v>18</v>
      </c>
      <c r="B27" s="74"/>
      <c r="C27" s="75"/>
      <c r="D27" s="76"/>
      <c r="E27" s="77"/>
      <c r="F27" s="77"/>
      <c r="G27" s="78" t="str">
        <f aca="false">IF($D27="","",IF($D27=G$8,$F27-$E27,""))</f>
        <v/>
      </c>
      <c r="H27" s="79" t="str">
        <f aca="false">IF($D27="","",IF($D27=H$8,$F27-$E27,""))</f>
        <v/>
      </c>
      <c r="I27" s="80" t="str">
        <f aca="false">IF($D27="","",IF($D27=I$8,$F27-$E27,""))</f>
        <v/>
      </c>
      <c r="J27" s="81" t="str">
        <f aca="false">IF($D27="","",IF($D27=CONCATENATE(J$7," ",J$8),$F27-$E27,""))</f>
        <v/>
      </c>
      <c r="K27" s="82" t="str">
        <f aca="false">IF($D27="","",IF($D27=CONCATENATE(J$7," ",K$8),$F27-$E27,""))</f>
        <v/>
      </c>
      <c r="L27" s="83"/>
      <c r="M27" s="76"/>
      <c r="N27" s="84" t="str">
        <f aca="false">IF($D27="","",IF($D27="PAX",$F27-$E27,""))</f>
        <v/>
      </c>
      <c r="O27" s="85" t="str">
        <f aca="false">IF(ISBLANK(F27), "", IF(W27=TRUE(),7,IF(V27=TRUE(),6,1)))</f>
        <v/>
      </c>
      <c r="P27" s="81" t="str">
        <f aca="false">IF($O27=P$9,F27-E27,"")</f>
        <v/>
      </c>
      <c r="Q27" s="79" t="str">
        <f aca="false">IF($O27=6,F27-E27,"")</f>
        <v/>
      </c>
      <c r="R27" s="82" t="str">
        <f aca="false">IF($O27=R$9,F27-E27,"")</f>
        <v/>
      </c>
      <c r="S27" s="86"/>
      <c r="T27" s="87"/>
      <c r="U27" s="70" t="str">
        <f aca="false">IF($G$5=A27,"Max Launches","")</f>
        <v/>
      </c>
      <c r="V27" s="88" t="b">
        <f aca="false">FALSE()</f>
        <v>0</v>
      </c>
      <c r="W27" s="88" t="b">
        <f aca="false">FALSE()</f>
        <v>0</v>
      </c>
    </row>
    <row r="28" customFormat="false" ht="14.25" hidden="false" customHeight="false" outlineLevel="0" collapsed="false">
      <c r="A28" s="44" t="n">
        <v>19</v>
      </c>
      <c r="B28" s="74"/>
      <c r="C28" s="75"/>
      <c r="D28" s="76"/>
      <c r="E28" s="77"/>
      <c r="F28" s="77"/>
      <c r="G28" s="78" t="str">
        <f aca="false">IF($D28="","",IF($D28=G$8,$F28-$E28,""))</f>
        <v/>
      </c>
      <c r="H28" s="79" t="str">
        <f aca="false">IF($D28="","",IF($D28=H$8,$F28-$E28,""))</f>
        <v/>
      </c>
      <c r="I28" s="80" t="str">
        <f aca="false">IF($D28="","",IF($D28=I$8,$F28-$E28,""))</f>
        <v/>
      </c>
      <c r="J28" s="81" t="str">
        <f aca="false">IF($D28="","",IF($D28=CONCATENATE(J$7," ",J$8),$F28-$E28,""))</f>
        <v/>
      </c>
      <c r="K28" s="82" t="str">
        <f aca="false">IF($D28="","",IF($D28=CONCATENATE(J$7," ",K$8),$F28-$E28,""))</f>
        <v/>
      </c>
      <c r="L28" s="83"/>
      <c r="M28" s="76"/>
      <c r="N28" s="84" t="str">
        <f aca="false">IF($D28="","",IF($D28="PAX",$F28-$E28,""))</f>
        <v/>
      </c>
      <c r="O28" s="85" t="str">
        <f aca="false">IF(ISBLANK(F28), "", IF(W28=TRUE(),7,IF(V28=TRUE(),6,1)))</f>
        <v/>
      </c>
      <c r="P28" s="81" t="str">
        <f aca="false">IF($O28=P$9,F28-E28,"")</f>
        <v/>
      </c>
      <c r="Q28" s="79" t="str">
        <f aca="false">IF($O28=6,F28-E28,"")</f>
        <v/>
      </c>
      <c r="R28" s="82" t="str">
        <f aca="false">IF($O28=R$9,F28-E28,"")</f>
        <v/>
      </c>
      <c r="S28" s="86"/>
      <c r="T28" s="87"/>
      <c r="U28" s="70" t="str">
        <f aca="false">IF($G$5=A28,"Max Launches","")</f>
        <v/>
      </c>
      <c r="V28" s="88" t="b">
        <f aca="false">FALSE()</f>
        <v>0</v>
      </c>
      <c r="W28" s="88" t="b">
        <f aca="false">FALSE()</f>
        <v>0</v>
      </c>
    </row>
    <row r="29" customFormat="false" ht="15" hidden="false" customHeight="false" outlineLevel="0" collapsed="false">
      <c r="A29" s="90" t="n">
        <v>20</v>
      </c>
      <c r="B29" s="91"/>
      <c r="C29" s="92"/>
      <c r="D29" s="93"/>
      <c r="E29" s="94"/>
      <c r="F29" s="94"/>
      <c r="G29" s="95" t="str">
        <f aca="false">IF($D29="","",IF($D29=G$8,$F29-$E29,""))</f>
        <v/>
      </c>
      <c r="H29" s="96" t="str">
        <f aca="false">IF($D29="","",IF($D29=H$8,$F29-$E29,""))</f>
        <v/>
      </c>
      <c r="I29" s="97" t="str">
        <f aca="false">IF($D29="","",IF($D29=I$8,$F29-$E29,""))</f>
        <v/>
      </c>
      <c r="J29" s="98" t="str">
        <f aca="false">IF($D29="","",IF($D29=CONCATENATE(J$7," ",J$8),$F29-$E29,""))</f>
        <v/>
      </c>
      <c r="K29" s="99" t="str">
        <f aca="false">IF($D29="","",IF($D29=CONCATENATE(J$7," ",K$8),$F29-$E29,""))</f>
        <v/>
      </c>
      <c r="L29" s="100"/>
      <c r="M29" s="93"/>
      <c r="N29" s="101" t="str">
        <f aca="false">IF($D29="","",IF($D29="PAX",$F29-$E29,""))</f>
        <v/>
      </c>
      <c r="O29" s="102" t="str">
        <f aca="false">IF(ISBLANK(F29), "", IF(W29=TRUE(),7,IF(V29=TRUE(),6,1)))</f>
        <v/>
      </c>
      <c r="P29" s="98" t="str">
        <f aca="false">IF($O29=P$9,F29-E29,"")</f>
        <v/>
      </c>
      <c r="Q29" s="96" t="str">
        <f aca="false">IF($O29=6,F29-E29,"")</f>
        <v/>
      </c>
      <c r="R29" s="99" t="str">
        <f aca="false">IF($O29=R$9,F29-E29,"")</f>
        <v/>
      </c>
      <c r="S29" s="103"/>
      <c r="T29" s="104"/>
      <c r="U29" s="70" t="str">
        <f aca="false">IF($G$5=A29,"Max Launches","")</f>
        <v/>
      </c>
      <c r="V29" s="105" t="b">
        <f aca="false">FALSE()</f>
        <v>0</v>
      </c>
      <c r="W29" s="105" t="b">
        <f aca="false">FALSE()</f>
        <v>0</v>
      </c>
    </row>
    <row r="30" customFormat="false" ht="14.25" hidden="false" customHeight="false" outlineLevel="0" collapsed="false">
      <c r="A30" s="55" t="n">
        <v>21</v>
      </c>
      <c r="B30" s="56"/>
      <c r="C30" s="57"/>
      <c r="D30" s="58"/>
      <c r="E30" s="59"/>
      <c r="F30" s="59"/>
      <c r="G30" s="60" t="str">
        <f aca="false">IF($D30="","",IF($D30=G$8,$F30-$E30,""))</f>
        <v/>
      </c>
      <c r="H30" s="61" t="str">
        <f aca="false">IF($D30="","",IF($D30=H$8,$F30-$E30,""))</f>
        <v/>
      </c>
      <c r="I30" s="62" t="str">
        <f aca="false">IF($D30="","",IF($D30=I$8,$F30-$E30,""))</f>
        <v/>
      </c>
      <c r="J30" s="63" t="str">
        <f aca="false">IF($D30="","",IF($D30=CONCATENATE(J$7," ",J$8),$F30-$E30,""))</f>
        <v/>
      </c>
      <c r="K30" s="64" t="str">
        <f aca="false">IF($D30="","",IF($D30=CONCATENATE(J$7," ",K$8),$F30-$E30,""))</f>
        <v/>
      </c>
      <c r="L30" s="65"/>
      <c r="M30" s="58"/>
      <c r="N30" s="66" t="str">
        <f aca="false">IF($D30="","",IF($D30="PAX",$F30-$E30,""))</f>
        <v/>
      </c>
      <c r="O30" s="67" t="str">
        <f aca="false">IF(ISBLANK(F30), "", IF(W30=TRUE(),7,IF(V30=TRUE(),6,1)))</f>
        <v/>
      </c>
      <c r="P30" s="63" t="str">
        <f aca="false">IF($O30=P$9,F30-E30,"")</f>
        <v/>
      </c>
      <c r="Q30" s="61" t="str">
        <f aca="false">IF($O30=6,F30-E30,"")</f>
        <v/>
      </c>
      <c r="R30" s="64" t="str">
        <f aca="false">IF($O30=R$9,F30-E30,"")</f>
        <v/>
      </c>
      <c r="S30" s="68"/>
      <c r="T30" s="69"/>
      <c r="U30" s="70" t="str">
        <f aca="false">IF($G$5=A30,"Max Launches","")</f>
        <v/>
      </c>
      <c r="V30" s="106" t="b">
        <f aca="false">FALSE()</f>
        <v>0</v>
      </c>
      <c r="W30" s="106" t="b">
        <f aca="false">FALSE()</f>
        <v>0</v>
      </c>
    </row>
    <row r="31" customFormat="false" ht="14.25" hidden="false" customHeight="false" outlineLevel="0" collapsed="false">
      <c r="A31" s="44" t="n">
        <v>22</v>
      </c>
      <c r="B31" s="74"/>
      <c r="C31" s="75"/>
      <c r="D31" s="76"/>
      <c r="E31" s="77"/>
      <c r="F31" s="77"/>
      <c r="G31" s="78" t="str">
        <f aca="false">IF($D31="","",IF($D31=G$8,$F31-$E31,""))</f>
        <v/>
      </c>
      <c r="H31" s="79" t="str">
        <f aca="false">IF($D31="","",IF($D31=H$8,$F31-$E31,""))</f>
        <v/>
      </c>
      <c r="I31" s="80" t="str">
        <f aca="false">IF($D31="","",IF($D31=I$8,$F31-$E31,""))</f>
        <v/>
      </c>
      <c r="J31" s="81" t="str">
        <f aca="false">IF($D31="","",IF($D31=CONCATENATE(J$7," ",J$8),$F31-$E31,""))</f>
        <v/>
      </c>
      <c r="K31" s="82" t="str">
        <f aca="false">IF($D31="","",IF($D31=CONCATENATE(J$7," ",K$8),$F31-$E31,""))</f>
        <v/>
      </c>
      <c r="L31" s="83"/>
      <c r="M31" s="76"/>
      <c r="N31" s="84" t="str">
        <f aca="false">IF($D31="","",IF($D31="PAX",$F31-$E31,""))</f>
        <v/>
      </c>
      <c r="O31" s="85" t="str">
        <f aca="false">IF(ISBLANK(F31), "", IF(W31=TRUE(),7,IF(V31=TRUE(),6,1)))</f>
        <v/>
      </c>
      <c r="P31" s="81" t="str">
        <f aca="false">IF($O31=P$9,F31-E31,"")</f>
        <v/>
      </c>
      <c r="Q31" s="79" t="str">
        <f aca="false">IF($O31=6,F31-E31,"")</f>
        <v/>
      </c>
      <c r="R31" s="82" t="str">
        <f aca="false">IF($O31=R$9,F31-E31,"")</f>
        <v/>
      </c>
      <c r="S31" s="86"/>
      <c r="T31" s="87"/>
      <c r="U31" s="70" t="str">
        <f aca="false">IF($G$5=A31,"Max Launches","")</f>
        <v/>
      </c>
      <c r="V31" s="88" t="b">
        <f aca="false">FALSE()</f>
        <v>0</v>
      </c>
      <c r="W31" s="88" t="b">
        <f aca="false">FALSE()</f>
        <v>0</v>
      </c>
    </row>
    <row r="32" customFormat="false" ht="14.25" hidden="false" customHeight="false" outlineLevel="0" collapsed="false">
      <c r="A32" s="44" t="n">
        <v>23</v>
      </c>
      <c r="B32" s="74"/>
      <c r="C32" s="75"/>
      <c r="D32" s="76"/>
      <c r="E32" s="77"/>
      <c r="F32" s="77"/>
      <c r="G32" s="78" t="str">
        <f aca="false">IF($D32="","",IF($D32=G$8,$F32-$E32,""))</f>
        <v/>
      </c>
      <c r="H32" s="79" t="str">
        <f aca="false">IF($D32="","",IF($D32=H$8,$F32-$E32,""))</f>
        <v/>
      </c>
      <c r="I32" s="80" t="str">
        <f aca="false">IF($D32="","",IF($D32=I$8,$F32-$E32,""))</f>
        <v/>
      </c>
      <c r="J32" s="81" t="str">
        <f aca="false">IF($D32="","",IF($D32=CONCATENATE(J$7," ",J$8),$F32-$E32,""))</f>
        <v/>
      </c>
      <c r="K32" s="82" t="str">
        <f aca="false">IF($D32="","",IF($D32=CONCATENATE(J$7," ",K$8),$F32-$E32,""))</f>
        <v/>
      </c>
      <c r="L32" s="83"/>
      <c r="M32" s="76"/>
      <c r="N32" s="84" t="str">
        <f aca="false">IF($D32="","",IF($D32="PAX",$F32-$E32,""))</f>
        <v/>
      </c>
      <c r="O32" s="85" t="str">
        <f aca="false">IF(ISBLANK(F32), "", IF(W32=TRUE(),7,IF(V32=TRUE(),6,1)))</f>
        <v/>
      </c>
      <c r="P32" s="81" t="str">
        <f aca="false">IF($O32=P$9,F32-E32,"")</f>
        <v/>
      </c>
      <c r="Q32" s="79" t="str">
        <f aca="false">IF($O32=6,F32-E32,"")</f>
        <v/>
      </c>
      <c r="R32" s="82" t="str">
        <f aca="false">IF($O32=R$9,F32-E32,"")</f>
        <v/>
      </c>
      <c r="S32" s="86"/>
      <c r="T32" s="87"/>
      <c r="U32" s="70" t="str">
        <f aca="false">IF($G$5=A32,"Max Launches","")</f>
        <v/>
      </c>
      <c r="V32" s="88" t="b">
        <f aca="false">FALSE()</f>
        <v>0</v>
      </c>
      <c r="W32" s="88" t="b">
        <f aca="false">FALSE()</f>
        <v>0</v>
      </c>
    </row>
    <row r="33" customFormat="false" ht="14.25" hidden="false" customHeight="false" outlineLevel="0" collapsed="false">
      <c r="A33" s="44" t="n">
        <v>24</v>
      </c>
      <c r="B33" s="74"/>
      <c r="C33" s="75"/>
      <c r="D33" s="76"/>
      <c r="E33" s="77"/>
      <c r="F33" s="77"/>
      <c r="G33" s="78" t="str">
        <f aca="false">IF($D33="","",IF($D33=G$8,$F33-$E33,""))</f>
        <v/>
      </c>
      <c r="H33" s="79" t="str">
        <f aca="false">IF($D33="","",IF($D33=H$8,$F33-$E33,""))</f>
        <v/>
      </c>
      <c r="I33" s="80" t="str">
        <f aca="false">IF($D33="","",IF($D33=I$8,$F33-$E33,""))</f>
        <v/>
      </c>
      <c r="J33" s="81" t="str">
        <f aca="false">IF($D33="","",IF($D33=CONCATENATE(J$7," ",J$8),$F33-$E33,""))</f>
        <v/>
      </c>
      <c r="K33" s="82" t="str">
        <f aca="false">IF($D33="","",IF($D33=CONCATENATE(J$7," ",K$8),$F33-$E33,""))</f>
        <v/>
      </c>
      <c r="L33" s="83"/>
      <c r="M33" s="76"/>
      <c r="N33" s="84" t="str">
        <f aca="false">IF($D33="","",IF($D33="PAX",$F33-$E33,""))</f>
        <v/>
      </c>
      <c r="O33" s="85" t="str">
        <f aca="false">IF(ISBLANK(F33), "", IF(W33=TRUE(),7,IF(V33=TRUE(),6,1)))</f>
        <v/>
      </c>
      <c r="P33" s="81" t="str">
        <f aca="false">IF($O33=P$9,F33-E33,"")</f>
        <v/>
      </c>
      <c r="Q33" s="79" t="str">
        <f aca="false">IF($O33=6,F33-E33,"")</f>
        <v/>
      </c>
      <c r="R33" s="82" t="str">
        <f aca="false">IF($O33=R$9,F33-E33,"")</f>
        <v/>
      </c>
      <c r="S33" s="86"/>
      <c r="T33" s="87"/>
      <c r="U33" s="70" t="str">
        <f aca="false">IF($G$5=A33,"Max Launches","")</f>
        <v/>
      </c>
      <c r="V33" s="88" t="b">
        <f aca="false">FALSE()</f>
        <v>0</v>
      </c>
      <c r="W33" s="88" t="b">
        <f aca="false">FALSE()</f>
        <v>0</v>
      </c>
    </row>
    <row r="34" customFormat="false" ht="15" hidden="false" customHeight="false" outlineLevel="0" collapsed="false">
      <c r="A34" s="90" t="n">
        <v>25</v>
      </c>
      <c r="B34" s="91"/>
      <c r="C34" s="92"/>
      <c r="D34" s="93"/>
      <c r="E34" s="94"/>
      <c r="F34" s="94"/>
      <c r="G34" s="95" t="str">
        <f aca="false">IF($D34="","",IF($D34=G$8,$F34-$E34,""))</f>
        <v/>
      </c>
      <c r="H34" s="96" t="str">
        <f aca="false">IF($D34="","",IF($D34=H$8,$F34-$E34,""))</f>
        <v/>
      </c>
      <c r="I34" s="97" t="str">
        <f aca="false">IF($D34="","",IF($D34=I$8,$F34-$E34,""))</f>
        <v/>
      </c>
      <c r="J34" s="98" t="str">
        <f aca="false">IF($D34="","",IF($D34=CONCATENATE(J$7," ",J$8),$F34-$E34,""))</f>
        <v/>
      </c>
      <c r="K34" s="99" t="str">
        <f aca="false">IF($D34="","",IF($D34=CONCATENATE(J$7," ",K$8),$F34-$E34,""))</f>
        <v/>
      </c>
      <c r="L34" s="100"/>
      <c r="M34" s="93"/>
      <c r="N34" s="101" t="str">
        <f aca="false">IF($D34="","",IF($D34="PAX",$F34-$E34,""))</f>
        <v/>
      </c>
      <c r="O34" s="102" t="str">
        <f aca="false">IF(ISBLANK(F34), "", IF(W34=TRUE(),7,IF(V34=TRUE(),6,1)))</f>
        <v/>
      </c>
      <c r="P34" s="98" t="str">
        <f aca="false">IF($O34=P$9,F34-E34,"")</f>
        <v/>
      </c>
      <c r="Q34" s="96" t="str">
        <f aca="false">IF($O34=6,F34-E34,"")</f>
        <v/>
      </c>
      <c r="R34" s="99" t="str">
        <f aca="false">IF($O34=R$9,F34-E34,"")</f>
        <v/>
      </c>
      <c r="S34" s="103"/>
      <c r="T34" s="104"/>
      <c r="U34" s="70" t="str">
        <f aca="false">IF($G$5=A34,"Max Launches","")</f>
        <v/>
      </c>
      <c r="V34" s="105" t="b">
        <f aca="false">FALSE()</f>
        <v>0</v>
      </c>
      <c r="W34" s="105" t="b">
        <f aca="false">FALSE()</f>
        <v>0</v>
      </c>
    </row>
    <row r="35" customFormat="false" ht="14.25" hidden="false" customHeight="false" outlineLevel="0" collapsed="false">
      <c r="A35" s="55" t="n">
        <v>26</v>
      </c>
      <c r="B35" s="56"/>
      <c r="C35" s="57"/>
      <c r="D35" s="58"/>
      <c r="E35" s="59"/>
      <c r="F35" s="59"/>
      <c r="G35" s="60" t="str">
        <f aca="false">IF($D35="","",IF($D35=G$8,$F35-$E35,""))</f>
        <v/>
      </c>
      <c r="H35" s="61" t="str">
        <f aca="false">IF($D35="","",IF($D35=H$8,$F35-$E35,""))</f>
        <v/>
      </c>
      <c r="I35" s="62" t="str">
        <f aca="false">IF($D35="","",IF($D35=I$8,$F35-$E35,""))</f>
        <v/>
      </c>
      <c r="J35" s="63" t="str">
        <f aca="false">IF($D35="","",IF($D35=CONCATENATE(J$7," ",J$8),$F35-$E35,""))</f>
        <v/>
      </c>
      <c r="K35" s="64" t="str">
        <f aca="false">IF($D35="","",IF($D35=CONCATENATE(J$7," ",K$8),$F35-$E35,""))</f>
        <v/>
      </c>
      <c r="L35" s="65"/>
      <c r="M35" s="58"/>
      <c r="N35" s="66" t="str">
        <f aca="false">IF($D35="","",IF($D35="PAX",$F35-$E35,""))</f>
        <v/>
      </c>
      <c r="O35" s="67" t="str">
        <f aca="false">IF(ISBLANK(F35), "", IF(W35=TRUE(),7,IF(V35=TRUE(),6,1)))</f>
        <v/>
      </c>
      <c r="P35" s="63" t="str">
        <f aca="false">IF($O35=P$9,F35-E35,"")</f>
        <v/>
      </c>
      <c r="Q35" s="61" t="str">
        <f aca="false">IF($O35=6,F35-E35,"")</f>
        <v/>
      </c>
      <c r="R35" s="64" t="str">
        <f aca="false">IF($O35=R$9,F35-E35,"")</f>
        <v/>
      </c>
      <c r="S35" s="68"/>
      <c r="T35" s="69"/>
      <c r="U35" s="70" t="str">
        <f aca="false">IF($G$5=A35,"Max Launches","")</f>
        <v/>
      </c>
      <c r="V35" s="106" t="b">
        <f aca="false">FALSE()</f>
        <v>0</v>
      </c>
      <c r="W35" s="106" t="b">
        <f aca="false">FALSE()</f>
        <v>0</v>
      </c>
    </row>
    <row r="36" customFormat="false" ht="14.25" hidden="false" customHeight="false" outlineLevel="0" collapsed="false">
      <c r="A36" s="44" t="n">
        <v>27</v>
      </c>
      <c r="B36" s="74"/>
      <c r="C36" s="75"/>
      <c r="D36" s="76"/>
      <c r="E36" s="77"/>
      <c r="F36" s="77"/>
      <c r="G36" s="78" t="str">
        <f aca="false">IF($D36="","",IF($D36=G$8,$F36-$E36,""))</f>
        <v/>
      </c>
      <c r="H36" s="79" t="str">
        <f aca="false">IF($D36="","",IF($D36=H$8,$F36-$E36,""))</f>
        <v/>
      </c>
      <c r="I36" s="80" t="str">
        <f aca="false">IF($D36="","",IF($D36=I$8,$F36-$E36,""))</f>
        <v/>
      </c>
      <c r="J36" s="81" t="str">
        <f aca="false">IF($D36="","",IF($D36=CONCATENATE(J$7," ",J$8),$F36-$E36,""))</f>
        <v/>
      </c>
      <c r="K36" s="82" t="str">
        <f aca="false">IF($D36="","",IF($D36=CONCATENATE(J$7," ",K$8),$F36-$E36,""))</f>
        <v/>
      </c>
      <c r="L36" s="83"/>
      <c r="M36" s="76"/>
      <c r="N36" s="84" t="str">
        <f aca="false">IF($D36="","",IF($D36="PAX",$F36-$E36,""))</f>
        <v/>
      </c>
      <c r="O36" s="85" t="str">
        <f aca="false">IF(ISBLANK(F36), "", IF(W36=TRUE(),7,IF(V36=TRUE(),6,1)))</f>
        <v/>
      </c>
      <c r="P36" s="81" t="str">
        <f aca="false">IF($O36=P$9,F36-E36,"")</f>
        <v/>
      </c>
      <c r="Q36" s="79" t="str">
        <f aca="false">IF($O36=6,F36-E36,"")</f>
        <v/>
      </c>
      <c r="R36" s="82" t="str">
        <f aca="false">IF($O36=R$9,F36-E36,"")</f>
        <v/>
      </c>
      <c r="S36" s="86"/>
      <c r="T36" s="87"/>
      <c r="U36" s="70" t="str">
        <f aca="false">IF($G$5=A36,"Max Launches","")</f>
        <v/>
      </c>
      <c r="V36" s="88" t="b">
        <f aca="false">FALSE()</f>
        <v>0</v>
      </c>
      <c r="W36" s="88" t="b">
        <f aca="false">FALSE()</f>
        <v>0</v>
      </c>
    </row>
    <row r="37" customFormat="false" ht="14.25" hidden="false" customHeight="false" outlineLevel="0" collapsed="false">
      <c r="A37" s="44" t="n">
        <v>28</v>
      </c>
      <c r="B37" s="74"/>
      <c r="C37" s="75"/>
      <c r="D37" s="76"/>
      <c r="E37" s="77"/>
      <c r="F37" s="77"/>
      <c r="G37" s="78" t="str">
        <f aca="false">IF($D37="","",IF($D37=G$8,$F37-$E37,""))</f>
        <v/>
      </c>
      <c r="H37" s="79" t="str">
        <f aca="false">IF($D37="","",IF($D37=H$8,$F37-$E37,""))</f>
        <v/>
      </c>
      <c r="I37" s="80" t="str">
        <f aca="false">IF($D37="","",IF($D37=I$8,$F37-$E37,""))</f>
        <v/>
      </c>
      <c r="J37" s="81" t="str">
        <f aca="false">IF($D37="","",IF($D37=CONCATENATE(J$7," ",J$8),$F37-$E37,""))</f>
        <v/>
      </c>
      <c r="K37" s="82" t="str">
        <f aca="false">IF($D37="","",IF($D37=CONCATENATE(J$7," ",K$8),$F37-$E37,""))</f>
        <v/>
      </c>
      <c r="L37" s="83"/>
      <c r="M37" s="76"/>
      <c r="N37" s="84" t="str">
        <f aca="false">IF($D37="","",IF($D37="PAX",$F37-$E37,""))</f>
        <v/>
      </c>
      <c r="O37" s="85" t="str">
        <f aca="false">IF(ISBLANK(F37), "", IF(W37=TRUE(),7,IF(V37=TRUE(),6,1)))</f>
        <v/>
      </c>
      <c r="P37" s="81" t="str">
        <f aca="false">IF($O37=P$9,F37-E37,"")</f>
        <v/>
      </c>
      <c r="Q37" s="79" t="str">
        <f aca="false">IF($O37=6,F37-E37,"")</f>
        <v/>
      </c>
      <c r="R37" s="82" t="str">
        <f aca="false">IF($O37=R$9,F37-E37,"")</f>
        <v/>
      </c>
      <c r="S37" s="86"/>
      <c r="T37" s="87"/>
      <c r="U37" s="70" t="str">
        <f aca="false">IF($G$5=A37,"Max Launches","")</f>
        <v/>
      </c>
      <c r="V37" s="88" t="b">
        <f aca="false">FALSE()</f>
        <v>0</v>
      </c>
      <c r="W37" s="88" t="b">
        <f aca="false">FALSE()</f>
        <v>0</v>
      </c>
    </row>
    <row r="38" customFormat="false" ht="14.25" hidden="false" customHeight="false" outlineLevel="0" collapsed="false">
      <c r="A38" s="44" t="n">
        <v>29</v>
      </c>
      <c r="B38" s="74"/>
      <c r="C38" s="75"/>
      <c r="D38" s="76"/>
      <c r="E38" s="77"/>
      <c r="F38" s="77"/>
      <c r="G38" s="78" t="str">
        <f aca="false">IF($D38="","",IF($D38=G$8,$F38-$E38,""))</f>
        <v/>
      </c>
      <c r="H38" s="79" t="str">
        <f aca="false">IF($D38="","",IF($D38=H$8,$F38-$E38,""))</f>
        <v/>
      </c>
      <c r="I38" s="80" t="str">
        <f aca="false">IF($D38="","",IF($D38=I$8,$F38-$E38,""))</f>
        <v/>
      </c>
      <c r="J38" s="81" t="str">
        <f aca="false">IF($D38="","",IF($D38=CONCATENATE(J$7," ",J$8),$F38-$E38,""))</f>
        <v/>
      </c>
      <c r="K38" s="82" t="str">
        <f aca="false">IF($D38="","",IF($D38=CONCATENATE(J$7," ",K$8),$F38-$E38,""))</f>
        <v/>
      </c>
      <c r="L38" s="83"/>
      <c r="M38" s="76"/>
      <c r="N38" s="84" t="str">
        <f aca="false">IF($D38="","",IF($D38="PAX",$F38-$E38,""))</f>
        <v/>
      </c>
      <c r="O38" s="85" t="str">
        <f aca="false">IF(ISBLANK(F38), "", IF(W38=TRUE(),7,IF(V38=TRUE(),6,1)))</f>
        <v/>
      </c>
      <c r="P38" s="81" t="str">
        <f aca="false">IF($O38=P$9,F38-E38,"")</f>
        <v/>
      </c>
      <c r="Q38" s="79" t="str">
        <f aca="false">IF($O38=6,F38-E38,"")</f>
        <v/>
      </c>
      <c r="R38" s="82" t="str">
        <f aca="false">IF($O38=R$9,F38-E38,"")</f>
        <v/>
      </c>
      <c r="S38" s="86"/>
      <c r="T38" s="87"/>
      <c r="U38" s="70" t="str">
        <f aca="false">IF($G$5=A38,"Max Launches","")</f>
        <v/>
      </c>
      <c r="V38" s="88" t="b">
        <f aca="false">FALSE()</f>
        <v>0</v>
      </c>
      <c r="W38" s="88" t="b">
        <f aca="false">FALSE()</f>
        <v>0</v>
      </c>
    </row>
    <row r="39" customFormat="false" ht="15" hidden="false" customHeight="false" outlineLevel="0" collapsed="false">
      <c r="A39" s="90" t="n">
        <v>30</v>
      </c>
      <c r="B39" s="91"/>
      <c r="C39" s="92"/>
      <c r="D39" s="93"/>
      <c r="E39" s="94"/>
      <c r="F39" s="94"/>
      <c r="G39" s="95" t="str">
        <f aca="false">IF($D39="","",IF($D39=G$8,$F39-$E39,""))</f>
        <v/>
      </c>
      <c r="H39" s="96" t="str">
        <f aca="false">IF($D39="","",IF($D39=H$8,$F39-$E39,""))</f>
        <v/>
      </c>
      <c r="I39" s="97" t="str">
        <f aca="false">IF($D39="","",IF($D39=I$8,$F39-$E39,""))</f>
        <v/>
      </c>
      <c r="J39" s="98" t="str">
        <f aca="false">IF($D39="","",IF($D39=CONCATENATE(J$7," ",J$8),$F39-$E39,""))</f>
        <v/>
      </c>
      <c r="K39" s="99" t="str">
        <f aca="false">IF($D39="","",IF($D39=CONCATENATE(J$7," ",K$8),$F39-$E39,""))</f>
        <v/>
      </c>
      <c r="L39" s="100"/>
      <c r="M39" s="93"/>
      <c r="N39" s="101" t="str">
        <f aca="false">IF($D39="","",IF($D39="PAX",$F39-$E39,""))</f>
        <v/>
      </c>
      <c r="O39" s="102" t="str">
        <f aca="false">IF(ISBLANK(F39), "", IF(W39=TRUE(),7,IF(V39=TRUE(),6,1)))</f>
        <v/>
      </c>
      <c r="P39" s="98" t="str">
        <f aca="false">IF($O39=P$9,F39-E39,"")</f>
        <v/>
      </c>
      <c r="Q39" s="96" t="str">
        <f aca="false">IF($O39=6,F39-E39,"")</f>
        <v/>
      </c>
      <c r="R39" s="99" t="str">
        <f aca="false">IF($O39=R$9,F39-E39,"")</f>
        <v/>
      </c>
      <c r="S39" s="103"/>
      <c r="T39" s="104"/>
      <c r="U39" s="70" t="str">
        <f aca="false">IF($G$5=A39,"Max Launches","")</f>
        <v/>
      </c>
      <c r="V39" s="105" t="b">
        <f aca="false">FALSE()</f>
        <v>0</v>
      </c>
      <c r="W39" s="105" t="b">
        <f aca="false">FALSE()</f>
        <v>0</v>
      </c>
    </row>
    <row r="40" customFormat="false" ht="14.25" hidden="false" customHeight="false" outlineLevel="0" collapsed="false">
      <c r="A40" s="55" t="n">
        <v>31</v>
      </c>
      <c r="B40" s="56"/>
      <c r="C40" s="57"/>
      <c r="D40" s="58"/>
      <c r="E40" s="59"/>
      <c r="F40" s="59"/>
      <c r="G40" s="60" t="str">
        <f aca="false">IF($D40="","",IF($D40=G$8,$F40-$E40,""))</f>
        <v/>
      </c>
      <c r="H40" s="61" t="str">
        <f aca="false">IF($D40="","",IF($D40=H$8,$F40-$E40,""))</f>
        <v/>
      </c>
      <c r="I40" s="62" t="str">
        <f aca="false">IF($D40="","",IF($D40=I$8,$F40-$E40,""))</f>
        <v/>
      </c>
      <c r="J40" s="63" t="str">
        <f aca="false">IF($D40="","",IF($D40=CONCATENATE(J$7," ",J$8),$F40-$E40,""))</f>
        <v/>
      </c>
      <c r="K40" s="64" t="str">
        <f aca="false">IF($D40="","",IF($D40=CONCATENATE(J$7," ",K$8),$F40-$E40,""))</f>
        <v/>
      </c>
      <c r="L40" s="65"/>
      <c r="M40" s="58"/>
      <c r="N40" s="66" t="str">
        <f aca="false">IF($D40="","",IF($D40="PAX",$F40-$E40,""))</f>
        <v/>
      </c>
      <c r="O40" s="67" t="str">
        <f aca="false">IF(ISBLANK(F40), "", IF(W40=TRUE(),7,IF(V40=TRUE(),6,1)))</f>
        <v/>
      </c>
      <c r="P40" s="63" t="str">
        <f aca="false">IF($O40=P$9,F40-E40,"")</f>
        <v/>
      </c>
      <c r="Q40" s="61" t="str">
        <f aca="false">IF($O40=6,F40-E40,"")</f>
        <v/>
      </c>
      <c r="R40" s="64" t="str">
        <f aca="false">IF($O40=R$9,F40-E40,"")</f>
        <v/>
      </c>
      <c r="S40" s="68"/>
      <c r="T40" s="69"/>
      <c r="U40" s="70" t="str">
        <f aca="false">IF($G$5=A40,"Max Launches","")</f>
        <v/>
      </c>
      <c r="V40" s="106" t="b">
        <f aca="false">FALSE()</f>
        <v>0</v>
      </c>
      <c r="W40" s="106" t="b">
        <f aca="false">FALSE()</f>
        <v>0</v>
      </c>
    </row>
    <row r="41" customFormat="false" ht="15" hidden="false" customHeight="false" outlineLevel="0" collapsed="false">
      <c r="A41" s="90" t="n">
        <v>32</v>
      </c>
      <c r="B41" s="91"/>
      <c r="C41" s="92"/>
      <c r="D41" s="93"/>
      <c r="E41" s="94"/>
      <c r="F41" s="94"/>
      <c r="G41" s="95" t="str">
        <f aca="false">IF($D41="","",IF($D41=G$8,$F41-$E41,""))</f>
        <v/>
      </c>
      <c r="H41" s="96" t="str">
        <f aca="false">IF($D41="","",IF($D41=H$8,$F41-$E41,""))</f>
        <v/>
      </c>
      <c r="I41" s="97" t="str">
        <f aca="false">IF($D41="","",IF($D41=I$8,$F41-$E41,""))</f>
        <v/>
      </c>
      <c r="J41" s="98" t="str">
        <f aca="false">IF($D41="","",IF($D41=CONCATENATE(J$7," ",J$8),$F41-$E41,""))</f>
        <v/>
      </c>
      <c r="K41" s="99" t="str">
        <f aca="false">IF($D41="","",IF($D41=CONCATENATE(J$7," ",K$8),$F41-$E41,""))</f>
        <v/>
      </c>
      <c r="L41" s="100"/>
      <c r="M41" s="93"/>
      <c r="N41" s="101" t="str">
        <f aca="false">IF($D41="","",IF($D41="PAX",$F41-$E41,""))</f>
        <v/>
      </c>
      <c r="O41" s="107" t="str">
        <f aca="false">IF(ISBLANK(F41), "", IF(W41=TRUE(),7,IF(V41=TRUE(),6,1)))</f>
        <v/>
      </c>
      <c r="P41" s="98" t="str">
        <f aca="false">IF($O41=P$9,F41-E41,"")</f>
        <v/>
      </c>
      <c r="Q41" s="96" t="str">
        <f aca="false">IF($O41=6,F41-E41,"")</f>
        <v/>
      </c>
      <c r="R41" s="99" t="str">
        <f aca="false">IF($O41=R$9,F41-E41,"")</f>
        <v/>
      </c>
      <c r="S41" s="103"/>
      <c r="T41" s="104"/>
      <c r="U41" s="70" t="str">
        <f aca="false">IF($G$5=A41,"Max Launches","")</f>
        <v/>
      </c>
      <c r="V41" s="105" t="b">
        <f aca="false">FALSE()</f>
        <v>0</v>
      </c>
      <c r="W41" s="105" t="b">
        <f aca="false">FALSE()</f>
        <v>0</v>
      </c>
    </row>
    <row r="42" customFormat="false" ht="27.75" hidden="false" customHeight="true" outlineLevel="0" collapsed="false">
      <c r="E42" s="108" t="s">
        <v>47</v>
      </c>
      <c r="F42" s="108"/>
      <c r="G42" s="109" t="n">
        <f aca="false">IF(SUM(G10:G41)=0,"",SUM(G10:G41))</f>
        <v>0.0222222222222222</v>
      </c>
      <c r="H42" s="110" t="str">
        <f aca="false">IF(SUM(H10:H41)=0,"",SUM(H10:H41))</f>
        <v/>
      </c>
      <c r="I42" s="111" t="n">
        <f aca="false">IF(SUM(I10:I41)=0,"",SUM(I10:I41))</f>
        <v>0.0131944444444444</v>
      </c>
      <c r="J42" s="109" t="n">
        <f aca="false">IF(SUM(J10:J41)=0,"",SUM(J10:J41))</f>
        <v>0.00347222222222222</v>
      </c>
      <c r="K42" s="112" t="n">
        <f aca="false">IF(SUM(K10:K41)=0,"",SUM(K10:K41))</f>
        <v>0.00347222222222222</v>
      </c>
      <c r="L42" s="113" t="str">
        <f aca="false">IF(L$10="","",SUM(L10:L41))</f>
        <v/>
      </c>
      <c r="M42" s="113" t="str">
        <f aca="false">IF(M$10="","",SUM(M10:M41))</f>
        <v/>
      </c>
      <c r="N42" s="114" t="n">
        <f aca="false">IF(SUM(N10:N41)=0,"",SUM(N10:N41))</f>
        <v>0.00277777777777778</v>
      </c>
      <c r="O42" s="113"/>
      <c r="P42" s="115" t="n">
        <f aca="false">IF(SUM(P10:P41)=0,"",SUM(P10:P41))</f>
        <v>0.0354166666666667</v>
      </c>
      <c r="Q42" s="116" t="n">
        <f aca="false">IF(SUM(Q10:Q41)=0,"",SUM(Q10:Q41))</f>
        <v>0.00555555555555556</v>
      </c>
      <c r="R42" s="117" t="n">
        <f aca="false">IF(SUM(R10:R41)=0,"",SUM(R10:R41))</f>
        <v>0.00416666666666667</v>
      </c>
      <c r="U42" s="118"/>
    </row>
    <row r="43" customFormat="false" ht="27.75" hidden="false" customHeight="true" outlineLevel="0" collapsed="false">
      <c r="E43" s="108" t="s">
        <v>48</v>
      </c>
      <c r="F43" s="108"/>
      <c r="G43" s="119" t="n">
        <f aca="false">IF(COUNT(G10:G41)=0,"",COUNT(G10:G41))</f>
        <v>6</v>
      </c>
      <c r="H43" s="120" t="str">
        <f aca="false">IF(COUNT(H10:H41)=0,"",COUNT(H10:H41))</f>
        <v/>
      </c>
      <c r="I43" s="121" t="n">
        <f aca="false">IF(COUNT(I10:I41)=0,"",COUNT(I10:I41))</f>
        <v>4</v>
      </c>
      <c r="J43" s="119" t="n">
        <f aca="false">IF(COUNT(J10:J41)=0,"",COUNT(J10:J41))</f>
        <v>1</v>
      </c>
      <c r="K43" s="122" t="n">
        <f aca="false">IF(COUNT(K10:K41)=0,"",COUNT(K10:K41))</f>
        <v>1</v>
      </c>
      <c r="L43" s="8" t="str">
        <f aca="false">IF(L$10="","",32-COUNTBLANK(L10:L41))</f>
        <v/>
      </c>
      <c r="M43" s="8" t="str">
        <f aca="false">IF(M$10="","",32-COUNTBLANK(M10:M41))</f>
        <v/>
      </c>
      <c r="N43" s="123" t="n">
        <f aca="false">IF(COUNT(N10:N41)=0,"",COUNT(N10:N41))</f>
        <v>1</v>
      </c>
      <c r="O43" s="8"/>
      <c r="P43" s="124" t="n">
        <f aca="false">IF(COUNT(P10:P41)=0,"",COUNT(P10:P41))</f>
        <v>11</v>
      </c>
      <c r="Q43" s="125" t="n">
        <f aca="false">IF(COUNT(Q10:Q41)=0,"",COUNT(Q10:Q41))</f>
        <v>1</v>
      </c>
      <c r="R43" s="126" t="n">
        <f aca="false">IF(COUNT(R10:R41)=0,"",COUNT(R10:R41))</f>
        <v>1</v>
      </c>
    </row>
    <row r="44" customFormat="false" ht="18.75" hidden="false" customHeight="true" outlineLevel="0" collapsed="false">
      <c r="E44" s="127"/>
      <c r="F44" s="127"/>
      <c r="G44" s="8"/>
      <c r="H44" s="8"/>
      <c r="I44" s="8"/>
      <c r="J44" s="8"/>
      <c r="K44" s="8"/>
      <c r="L44" s="8"/>
      <c r="M44" s="8"/>
      <c r="N44" s="8"/>
      <c r="O44" s="8"/>
      <c r="P44" s="8"/>
      <c r="Q44" s="128"/>
      <c r="R44" s="8"/>
    </row>
    <row r="45" customFormat="false" ht="19.5" hidden="false" customHeight="true" outlineLevel="0" collapsed="false">
      <c r="E45" s="127"/>
      <c r="F45" s="127"/>
      <c r="G45" s="129" t="s">
        <v>49</v>
      </c>
      <c r="H45" s="129"/>
      <c r="I45" s="129"/>
      <c r="J45" s="129"/>
      <c r="K45" s="129"/>
      <c r="L45" s="129"/>
      <c r="M45" s="129"/>
      <c r="N45" s="129"/>
      <c r="O45" s="129"/>
      <c r="P45" s="129"/>
      <c r="Q45" s="129"/>
      <c r="R45" s="129"/>
      <c r="S45" s="129"/>
      <c r="T45" s="129"/>
      <c r="U45" s="129"/>
    </row>
    <row r="46" customFormat="false" ht="15" hidden="false" customHeight="true" outlineLevel="0" collapsed="false">
      <c r="E46" s="127"/>
      <c r="F46" s="127"/>
      <c r="G46" s="130" t="s">
        <v>50</v>
      </c>
      <c r="H46" s="130"/>
      <c r="I46" s="130"/>
      <c r="J46" s="130"/>
      <c r="K46" s="130" t="s">
        <v>51</v>
      </c>
      <c r="L46" s="130"/>
      <c r="M46" s="130"/>
      <c r="N46" s="130"/>
      <c r="O46" s="131" t="s">
        <v>52</v>
      </c>
      <c r="P46" s="131"/>
      <c r="Q46" s="131"/>
      <c r="R46" s="131"/>
      <c r="S46" s="132" t="s">
        <v>53</v>
      </c>
      <c r="T46" s="132"/>
      <c r="U46" s="132"/>
      <c r="V46" s="132"/>
    </row>
    <row r="47" customFormat="false" ht="21.75" hidden="false" customHeight="true" outlineLevel="0" collapsed="false">
      <c r="F47" s="131" t="s">
        <v>4</v>
      </c>
      <c r="G47" s="133" t="s">
        <v>54</v>
      </c>
      <c r="H47" s="133"/>
      <c r="I47" s="134" t="s">
        <v>55</v>
      </c>
      <c r="J47" s="134"/>
      <c r="K47" s="133" t="s">
        <v>54</v>
      </c>
      <c r="L47" s="133"/>
      <c r="M47" s="134" t="s">
        <v>55</v>
      </c>
      <c r="N47" s="134"/>
      <c r="O47" s="131"/>
      <c r="P47" s="131"/>
      <c r="Q47" s="131"/>
      <c r="R47" s="131"/>
      <c r="S47" s="132"/>
      <c r="T47" s="132"/>
      <c r="U47" s="132"/>
      <c r="V47" s="132"/>
    </row>
    <row r="48" customFormat="false" ht="21.75" hidden="false" customHeight="true" outlineLevel="0" collapsed="false">
      <c r="E48" s="8" t="s">
        <v>56</v>
      </c>
      <c r="F48" s="135" t="n">
        <f aca="false">IF(O48="","",O2)</f>
        <v>46067</v>
      </c>
      <c r="G48" s="136" t="str">
        <f aca="false">IF(O48=1,P42,IF(O48=6,Q42,""))</f>
        <v/>
      </c>
      <c r="H48" s="136"/>
      <c r="I48" s="137" t="str">
        <f aca="false">IF(G48="","",C4+G48)</f>
        <v/>
      </c>
      <c r="J48" s="137"/>
      <c r="K48" s="138" t="str">
        <f aca="false">IF(O48=1,P43,IF(O48=6,Q43,""))</f>
        <v/>
      </c>
      <c r="L48" s="138"/>
      <c r="M48" s="139" t="str">
        <f aca="false">IF(K48="","",C5+K48)</f>
        <v/>
      </c>
      <c r="N48" s="139"/>
      <c r="O48" s="140" t="n">
        <f aca="false">IF($R$43&lt;=32,7,IF($Q$43&lt;=32,6,IF($P$43&lt;=32,1,"")))</f>
        <v>7</v>
      </c>
      <c r="P48" s="140"/>
      <c r="Q48" s="140"/>
      <c r="R48" s="140"/>
      <c r="S48" s="141" t="str">
        <f aca="false" t="array" ref="S48:S48">IFERROR(LOOKUP(2,1/(ISTEXT(B10:B41)), B10:B41), "")</f>
        <v>Abbott</v>
      </c>
      <c r="T48" s="141"/>
      <c r="U48" s="141"/>
      <c r="V48" s="141"/>
    </row>
    <row r="49" customFormat="false" ht="21.75" hidden="false" customHeight="true" outlineLevel="0" collapsed="false">
      <c r="D49" s="142"/>
      <c r="E49" s="8" t="str">
        <f aca="false">IF(O49=1,"Line 2","")</f>
        <v/>
      </c>
      <c r="F49" s="135" t="str">
        <f aca="false">IF(O49="","",O2)</f>
        <v/>
      </c>
      <c r="G49" s="143" t="str">
        <f aca="false">IF(O49=1,P42,"")</f>
        <v/>
      </c>
      <c r="H49" s="143"/>
      <c r="I49" s="137" t="str">
        <f aca="false">IF(G49="","",I48+G49)</f>
        <v/>
      </c>
      <c r="J49" s="137"/>
      <c r="K49" s="138" t="str">
        <f aca="false">IF(O49=1,P43,"")</f>
        <v/>
      </c>
      <c r="L49" s="138"/>
      <c r="M49" s="139" t="str">
        <f aca="false">IF(K49="","",M48+K49)</f>
        <v/>
      </c>
      <c r="N49" s="139"/>
      <c r="O49" s="140" t="str">
        <f aca="false">IF(AND(O48=6,P43&lt;=32),1,"")</f>
        <v/>
      </c>
      <c r="P49" s="140"/>
      <c r="Q49" s="140"/>
      <c r="R49" s="140"/>
      <c r="S49" s="141" t="str">
        <f aca="false">IF(O49=1,S48,"")</f>
        <v/>
      </c>
      <c r="T49" s="141"/>
      <c r="U49" s="141"/>
      <c r="V49" s="141"/>
    </row>
  </sheetData>
  <sheetProtection algorithmName="SHA-512" hashValue="HNPcC5FEIwM+AHs1Yh4duZkmV7VW5NgIPWyKJRQ2QNzO/7SHsAMuLqIfSU4DzTCXeQoScGAFmB60AajJl23zfw==" saltValue="TBLAy1wn3W0sNoy4HcHePg==" spinCount="100000" sheet="true" selectLockedCells="true"/>
  <mergeCells count="45">
    <mergeCell ref="D2:E2"/>
    <mergeCell ref="H2:K2"/>
    <mergeCell ref="O2:Q2"/>
    <mergeCell ref="G3:T3"/>
    <mergeCell ref="E5:F5"/>
    <mergeCell ref="G5:H5"/>
    <mergeCell ref="R5:T5"/>
    <mergeCell ref="G6:H6"/>
    <mergeCell ref="I6:J6"/>
    <mergeCell ref="K6:L6"/>
    <mergeCell ref="M6:N6"/>
    <mergeCell ref="O6:R6"/>
    <mergeCell ref="S6:U6"/>
    <mergeCell ref="A7:A9"/>
    <mergeCell ref="G7:I7"/>
    <mergeCell ref="J7:K7"/>
    <mergeCell ref="L7:M8"/>
    <mergeCell ref="N7:N9"/>
    <mergeCell ref="O7:O9"/>
    <mergeCell ref="P7:R8"/>
    <mergeCell ref="S7:S9"/>
    <mergeCell ref="T7:T9"/>
    <mergeCell ref="E42:F42"/>
    <mergeCell ref="E43:F43"/>
    <mergeCell ref="G45:U45"/>
    <mergeCell ref="G46:J46"/>
    <mergeCell ref="K46:N46"/>
    <mergeCell ref="O46:R47"/>
    <mergeCell ref="S46:V47"/>
    <mergeCell ref="G47:H47"/>
    <mergeCell ref="I47:J47"/>
    <mergeCell ref="K47:L47"/>
    <mergeCell ref="M47:N47"/>
    <mergeCell ref="G48:H48"/>
    <mergeCell ref="I48:J48"/>
    <mergeCell ref="K48:L48"/>
    <mergeCell ref="M48:N48"/>
    <mergeCell ref="O48:R48"/>
    <mergeCell ref="S48:V48"/>
    <mergeCell ref="G49:H49"/>
    <mergeCell ref="I49:J49"/>
    <mergeCell ref="K49:L49"/>
    <mergeCell ref="M49:N49"/>
    <mergeCell ref="O49:R49"/>
    <mergeCell ref="S49:V49"/>
  </mergeCells>
  <conditionalFormatting sqref="B11:T41">
    <cfRule type="expression" priority="2" aboveAverage="0" equalAverage="0" bottom="0" percent="0" rank="0" text="" dxfId="0">
      <formula>$G$5=$A10</formula>
    </cfRule>
  </conditionalFormatting>
  <conditionalFormatting sqref="B41:T41">
    <cfRule type="expression" priority="3" aboveAverage="0" equalAverage="0" bottom="0" percent="0" rank="0" text="" dxfId="1">
      <formula>$G$5=$A$41</formula>
    </cfRule>
  </conditionalFormatting>
  <dataValidations count="7">
    <dataValidation allowBlank="true" errorStyle="stop" operator="lessThan" showDropDown="false" showErrorMessage="true" showInputMessage="true" sqref="G10" type="decimal">
      <formula1>0.01</formula1>
      <formula2>0</formula2>
    </dataValidation>
    <dataValidation allowBlank="true" errorStyle="stop" operator="between" showDropDown="false" showErrorMessage="true" showInputMessage="true" sqref="L33:M41" type="list">
      <formula1>INPUT_DATA!$A$6</formula1>
      <formula2>0</formula2>
    </dataValidation>
    <dataValidation allowBlank="true" errorStyle="stop" operator="between" showDropDown="false" showErrorMessage="true" showInputMessage="true" sqref="F3" type="list">
      <formula1>INPUT_DATA!$A$2:$A$6</formula1>
      <formula2>0</formula2>
    </dataValidation>
    <dataValidation allowBlank="true" error="Pilot should be one of those in hidden sheet INPUT_DATA. Unhide the sheet and add the pilot name." errorStyle="warning" errorTitle="Invalid Pilot" operator="between" showDropDown="false" showErrorMessage="true" showInputMessage="true" sqref="B10:B41" type="list">
      <formula1>INPUT_DATA!$C$16:$C$78</formula1>
      <formula2>0</formula2>
    </dataValidation>
    <dataValidation allowBlank="false" errorStyle="stop" operator="between" showDropDown="false" showErrorMessage="true" showInputMessage="true" sqref="D10:D41" type="list">
      <formula1>INPUT_DATA!$D$2:$D$7</formula1>
      <formula2>0</formula2>
    </dataValidation>
    <dataValidation allowBlank="true" errorStyle="stop" operator="between" showDropDown="false" showErrorMessage="false" showInputMessage="false" sqref="C10:C41" type="list">
      <formula1>INPUT_DATA!$C$16:$C$198</formula1>
      <formula2>0</formula2>
    </dataValidation>
    <dataValidation allowBlank="true" errorStyle="stop" operator="between" showDropDown="false" showErrorMessage="true" showInputMessage="true" sqref="F2" type="list">
      <formula1>INPUT_DATA!$A$2:$A$10</formula1>
      <formula2>0</formula2>
    </dataValidation>
  </dataValidations>
  <printOptions headings="false" gridLines="false" gridLinesSet="true" horizontalCentered="false" verticalCentered="false"/>
  <pageMargins left="0.25" right="0.25" top="0.75" bottom="0.527777777777778" header="0.3" footer="0.511811023622047"/>
  <pageSetup paperSize="9" scale="100" fitToWidth="1" fitToHeight="0" pageOrder="downThenOver" orientation="landscape" blackAndWhite="false" draft="false" cellComments="none" horizontalDpi="300" verticalDpi="300" copies="1"/>
  <headerFooter differentFirst="false" differentOddEven="false">
    <oddHeader>&amp;L&amp;"Arial,Bold"&amp;16CONVENTIONAL GLIDER DAILY LOG SHEET (NON-AEROTOW)&amp;R&amp;"Calibri,Bold"RAF Form 2965D
&amp;"Calibri,Regular"(Initial Issue 4/11)
PPQ = 100</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
              <controlPr defaultSize="0" locked="1" autoFill="0" autoLine="0" autoPict="0" print="true" altText="Check Box 44">
                <anchor moveWithCells="true" sizeWithCells="false">
                  <from>
                    <xdr:col>10</xdr:col>
                    <xdr:colOff>488520</xdr:colOff>
                    <xdr:row>9</xdr:row>
                    <xdr:rowOff>186840</xdr:rowOff>
                  </from>
                  <to>
                    <xdr:col>11</xdr:col>
                    <xdr:colOff>-79920</xdr:colOff>
                    <xdr:row>11</xdr:row>
                    <xdr:rowOff>14760</xdr:rowOff>
                  </to>
                </anchor>
              </controlPr>
            </control>
          </mc:Choice>
        </mc:AlternateContent>
        <mc:AlternateContent xmlns:mc="http://schemas.openxmlformats.org/markup-compatibility/2006">
          <mc:Choice Requires="x14">
            <control shapeId="1002" r:id="rId5" name="">
              <controlPr defaultSize="0" locked="1" autoFill="0" autoLine="0" autoPict="0" print="true" altText="Check Box 134">
                <anchor moveWithCells="true" sizeWithCells="false">
                  <from>
                    <xdr:col>10</xdr:col>
                    <xdr:colOff>488520</xdr:colOff>
                    <xdr:row>10</xdr:row>
                    <xdr:rowOff>177120</xdr:rowOff>
                  </from>
                  <to>
                    <xdr:col>11</xdr:col>
                    <xdr:colOff>-79920</xdr:colOff>
                    <xdr:row>12</xdr:row>
                    <xdr:rowOff>5400</xdr:rowOff>
                  </to>
                </anchor>
              </controlPr>
            </control>
          </mc:Choice>
        </mc:AlternateContent>
        <mc:AlternateContent xmlns:mc="http://schemas.openxmlformats.org/markup-compatibility/2006">
          <mc:Choice Requires="x14">
            <control shapeId="1003" r:id="rId6" name="">
              <controlPr defaultSize="0" locked="1" autoFill="0" autoLine="0" autoPict="0" print="true" altText="Check Box 135">
                <anchor moveWithCells="true" sizeWithCells="false">
                  <from>
                    <xdr:col>10</xdr:col>
                    <xdr:colOff>488520</xdr:colOff>
                    <xdr:row>11</xdr:row>
                    <xdr:rowOff>167400</xdr:rowOff>
                  </from>
                  <to>
                    <xdr:col>11</xdr:col>
                    <xdr:colOff>-79920</xdr:colOff>
                    <xdr:row>12</xdr:row>
                    <xdr:rowOff>186480</xdr:rowOff>
                  </to>
                </anchor>
              </controlPr>
            </control>
          </mc:Choice>
        </mc:AlternateContent>
        <mc:AlternateContent xmlns:mc="http://schemas.openxmlformats.org/markup-compatibility/2006">
          <mc:Choice Requires="x14">
            <control shapeId="1004" r:id="rId7" name="">
              <controlPr defaultSize="0" locked="1" autoFill="0" autoLine="0" autoPict="0" print="true" altText="Check Box 136">
                <anchor moveWithCells="true" sizeWithCells="false">
                  <from>
                    <xdr:col>10</xdr:col>
                    <xdr:colOff>488520</xdr:colOff>
                    <xdr:row>12</xdr:row>
                    <xdr:rowOff>158040</xdr:rowOff>
                  </from>
                  <to>
                    <xdr:col>11</xdr:col>
                    <xdr:colOff>-79920</xdr:colOff>
                    <xdr:row>13</xdr:row>
                    <xdr:rowOff>177120</xdr:rowOff>
                  </to>
                </anchor>
              </controlPr>
            </control>
          </mc:Choice>
        </mc:AlternateContent>
        <mc:AlternateContent xmlns:mc="http://schemas.openxmlformats.org/markup-compatibility/2006">
          <mc:Choice Requires="x14">
            <control shapeId="1005" r:id="rId8" name="">
              <controlPr defaultSize="0" locked="1" autoFill="0" autoLine="0" autoPict="0" print="true" altText="Check Box 137">
                <anchor moveWithCells="true" sizeWithCells="false">
                  <from>
                    <xdr:col>10</xdr:col>
                    <xdr:colOff>488520</xdr:colOff>
                    <xdr:row>13</xdr:row>
                    <xdr:rowOff>148680</xdr:rowOff>
                  </from>
                  <to>
                    <xdr:col>11</xdr:col>
                    <xdr:colOff>-79920</xdr:colOff>
                    <xdr:row>14</xdr:row>
                    <xdr:rowOff>167760</xdr:rowOff>
                  </to>
                </anchor>
              </controlPr>
            </control>
          </mc:Choice>
        </mc:AlternateContent>
        <mc:AlternateContent xmlns:mc="http://schemas.openxmlformats.org/markup-compatibility/2006">
          <mc:Choice Requires="x14">
            <control shapeId="1006" r:id="rId9" name="">
              <controlPr defaultSize="0" locked="1" autoFill="0" autoLine="0" autoPict="0" print="true" altText="Check Box 138">
                <anchor moveWithCells="true" sizeWithCells="false">
                  <from>
                    <xdr:col>10</xdr:col>
                    <xdr:colOff>488520</xdr:colOff>
                    <xdr:row>14</xdr:row>
                    <xdr:rowOff>148680</xdr:rowOff>
                  </from>
                  <to>
                    <xdr:col>11</xdr:col>
                    <xdr:colOff>-79920</xdr:colOff>
                    <xdr:row>15</xdr:row>
                    <xdr:rowOff>167400</xdr:rowOff>
                  </to>
                </anchor>
              </controlPr>
            </control>
          </mc:Choice>
        </mc:AlternateContent>
        <mc:AlternateContent xmlns:mc="http://schemas.openxmlformats.org/markup-compatibility/2006">
          <mc:Choice Requires="x14">
            <control shapeId="1007" r:id="rId10" name="">
              <controlPr defaultSize="0" locked="1" autoFill="0" autoLine="0" autoPict="0" print="true" altText="Check Box 139">
                <anchor moveWithCells="true" sizeWithCells="false">
                  <from>
                    <xdr:col>10</xdr:col>
                    <xdr:colOff>488520</xdr:colOff>
                    <xdr:row>15</xdr:row>
                    <xdr:rowOff>138960</xdr:rowOff>
                  </from>
                  <to>
                    <xdr:col>11</xdr:col>
                    <xdr:colOff>-79920</xdr:colOff>
                    <xdr:row>16</xdr:row>
                    <xdr:rowOff>158040</xdr:rowOff>
                  </to>
                </anchor>
              </controlPr>
            </control>
          </mc:Choice>
        </mc:AlternateContent>
        <mc:AlternateContent xmlns:mc="http://schemas.openxmlformats.org/markup-compatibility/2006">
          <mc:Choice Requires="x14">
            <control shapeId="1008" r:id="rId11" name="">
              <controlPr defaultSize="0" locked="1" autoFill="0" autoLine="0" autoPict="0" print="true" altText="Check Box 140">
                <anchor moveWithCells="true" sizeWithCells="false">
                  <from>
                    <xdr:col>10</xdr:col>
                    <xdr:colOff>488520</xdr:colOff>
                    <xdr:row>16</xdr:row>
                    <xdr:rowOff>129600</xdr:rowOff>
                  </from>
                  <to>
                    <xdr:col>11</xdr:col>
                    <xdr:colOff>-79920</xdr:colOff>
                    <xdr:row>17</xdr:row>
                    <xdr:rowOff>148320</xdr:rowOff>
                  </to>
                </anchor>
              </controlPr>
            </control>
          </mc:Choice>
        </mc:AlternateContent>
        <mc:AlternateContent xmlns:mc="http://schemas.openxmlformats.org/markup-compatibility/2006">
          <mc:Choice Requires="x14">
            <control shapeId="1009" r:id="rId12" name="">
              <controlPr defaultSize="0" locked="1" autoFill="0" autoLine="0" autoPict="0" print="true" altText="Check Box 141">
                <anchor moveWithCells="true" sizeWithCells="false">
                  <from>
                    <xdr:col>10</xdr:col>
                    <xdr:colOff>488520</xdr:colOff>
                    <xdr:row>17</xdr:row>
                    <xdr:rowOff>119880</xdr:rowOff>
                  </from>
                  <to>
                    <xdr:col>11</xdr:col>
                    <xdr:colOff>-79920</xdr:colOff>
                    <xdr:row>18</xdr:row>
                    <xdr:rowOff>138960</xdr:rowOff>
                  </to>
                </anchor>
              </controlPr>
            </control>
          </mc:Choice>
        </mc:AlternateContent>
        <mc:AlternateContent xmlns:mc="http://schemas.openxmlformats.org/markup-compatibility/2006">
          <mc:Choice Requires="x14">
            <control shapeId="1010" r:id="rId13" name="">
              <controlPr defaultSize="0" locked="1" autoFill="0" autoLine="0" autoPict="0" print="true" altText="Check Box 142">
                <anchor moveWithCells="true" sizeWithCells="false">
                  <from>
                    <xdr:col>10</xdr:col>
                    <xdr:colOff>488520</xdr:colOff>
                    <xdr:row>18</xdr:row>
                    <xdr:rowOff>110520</xdr:rowOff>
                  </from>
                  <to>
                    <xdr:col>11</xdr:col>
                    <xdr:colOff>-79920</xdr:colOff>
                    <xdr:row>19</xdr:row>
                    <xdr:rowOff>129600</xdr:rowOff>
                  </to>
                </anchor>
              </controlPr>
            </control>
          </mc:Choice>
        </mc:AlternateContent>
        <mc:AlternateContent xmlns:mc="http://schemas.openxmlformats.org/markup-compatibility/2006">
          <mc:Choice Requires="x14">
            <control shapeId="1011" r:id="rId14" name="">
              <controlPr defaultSize="0" locked="1" autoFill="0" autoLine="0" autoPict="0" print="true" altText="Check Box 143">
                <anchor moveWithCells="true" sizeWithCells="false">
                  <from>
                    <xdr:col>10</xdr:col>
                    <xdr:colOff>488520</xdr:colOff>
                    <xdr:row>19</xdr:row>
                    <xdr:rowOff>110520</xdr:rowOff>
                  </from>
                  <to>
                    <xdr:col>11</xdr:col>
                    <xdr:colOff>-79920</xdr:colOff>
                    <xdr:row>20</xdr:row>
                    <xdr:rowOff>129240</xdr:rowOff>
                  </to>
                </anchor>
              </controlPr>
            </control>
          </mc:Choice>
        </mc:AlternateContent>
        <mc:AlternateContent xmlns:mc="http://schemas.openxmlformats.org/markup-compatibility/2006">
          <mc:Choice Requires="x14">
            <control shapeId="1012" r:id="rId15" name="">
              <controlPr defaultSize="0" locked="1" autoFill="0" autoLine="0" autoPict="0" print="true" altText="Check Box 144">
                <anchor moveWithCells="true" sizeWithCells="false">
                  <from>
                    <xdr:col>10</xdr:col>
                    <xdr:colOff>488520</xdr:colOff>
                    <xdr:row>20</xdr:row>
                    <xdr:rowOff>100800</xdr:rowOff>
                  </from>
                  <to>
                    <xdr:col>11</xdr:col>
                    <xdr:colOff>-79920</xdr:colOff>
                    <xdr:row>21</xdr:row>
                    <xdr:rowOff>119880</xdr:rowOff>
                  </to>
                </anchor>
              </controlPr>
            </control>
          </mc:Choice>
        </mc:AlternateContent>
        <mc:AlternateContent xmlns:mc="http://schemas.openxmlformats.org/markup-compatibility/2006">
          <mc:Choice Requires="x14">
            <control shapeId="1013" r:id="rId16" name="">
              <controlPr defaultSize="0" locked="1" autoFill="0" autoLine="0" autoPict="0" print="true" altText="Check Box 145">
                <anchor moveWithCells="true" sizeWithCells="false">
                  <from>
                    <xdr:col>10</xdr:col>
                    <xdr:colOff>488520</xdr:colOff>
                    <xdr:row>21</xdr:row>
                    <xdr:rowOff>91440</xdr:rowOff>
                  </from>
                  <to>
                    <xdr:col>11</xdr:col>
                    <xdr:colOff>-79920</xdr:colOff>
                    <xdr:row>22</xdr:row>
                    <xdr:rowOff>110520</xdr:rowOff>
                  </to>
                </anchor>
              </controlPr>
            </control>
          </mc:Choice>
        </mc:AlternateContent>
        <mc:AlternateContent xmlns:mc="http://schemas.openxmlformats.org/markup-compatibility/2006">
          <mc:Choice Requires="x14">
            <control shapeId="1014" r:id="rId17" name="">
              <controlPr defaultSize="0" locked="1" autoFill="0" autoLine="0" autoPict="0" print="true" altText="Check Box 146">
                <anchor moveWithCells="true" sizeWithCells="false">
                  <from>
                    <xdr:col>10</xdr:col>
                    <xdr:colOff>488520</xdr:colOff>
                    <xdr:row>22</xdr:row>
                    <xdr:rowOff>82080</xdr:rowOff>
                  </from>
                  <to>
                    <xdr:col>11</xdr:col>
                    <xdr:colOff>-79920</xdr:colOff>
                    <xdr:row>23</xdr:row>
                    <xdr:rowOff>100800</xdr:rowOff>
                  </to>
                </anchor>
              </controlPr>
            </control>
          </mc:Choice>
        </mc:AlternateContent>
        <mc:AlternateContent xmlns:mc="http://schemas.openxmlformats.org/markup-compatibility/2006">
          <mc:Choice Requires="x14">
            <control shapeId="1015" r:id="rId18" name="">
              <controlPr defaultSize="0" locked="1" autoFill="0" autoLine="0" autoPict="0" print="true" altText="Check Box 147">
                <anchor moveWithCells="true" sizeWithCells="false">
                  <from>
                    <xdr:col>10</xdr:col>
                    <xdr:colOff>488520</xdr:colOff>
                    <xdr:row>23</xdr:row>
                    <xdr:rowOff>72360</xdr:rowOff>
                  </from>
                  <to>
                    <xdr:col>11</xdr:col>
                    <xdr:colOff>-79920</xdr:colOff>
                    <xdr:row>24</xdr:row>
                    <xdr:rowOff>91440</xdr:rowOff>
                  </to>
                </anchor>
              </controlPr>
            </control>
          </mc:Choice>
        </mc:AlternateContent>
        <mc:AlternateContent xmlns:mc="http://schemas.openxmlformats.org/markup-compatibility/2006">
          <mc:Choice Requires="x14">
            <control shapeId="1016" r:id="rId19" name="">
              <controlPr defaultSize="0" locked="1" autoFill="0" autoLine="0" autoPict="0" print="true" altText="Check Box 148">
                <anchor moveWithCells="true" sizeWithCells="false">
                  <from>
                    <xdr:col>10</xdr:col>
                    <xdr:colOff>488520</xdr:colOff>
                    <xdr:row>24</xdr:row>
                    <xdr:rowOff>72360</xdr:rowOff>
                  </from>
                  <to>
                    <xdr:col>11</xdr:col>
                    <xdr:colOff>-79920</xdr:colOff>
                    <xdr:row>25</xdr:row>
                    <xdr:rowOff>91080</xdr:rowOff>
                  </to>
                </anchor>
              </controlPr>
            </control>
          </mc:Choice>
        </mc:AlternateContent>
        <mc:AlternateContent xmlns:mc="http://schemas.openxmlformats.org/markup-compatibility/2006">
          <mc:Choice Requires="x14">
            <control shapeId="1017" r:id="rId20" name="">
              <controlPr defaultSize="0" locked="1" autoFill="0" autoLine="0" autoPict="0" print="true" altText="Check Box 149">
                <anchor moveWithCells="true" sizeWithCells="false">
                  <from>
                    <xdr:col>10</xdr:col>
                    <xdr:colOff>488520</xdr:colOff>
                    <xdr:row>25</xdr:row>
                    <xdr:rowOff>62640</xdr:rowOff>
                  </from>
                  <to>
                    <xdr:col>11</xdr:col>
                    <xdr:colOff>-79920</xdr:colOff>
                    <xdr:row>26</xdr:row>
                    <xdr:rowOff>81720</xdr:rowOff>
                  </to>
                </anchor>
              </controlPr>
            </control>
          </mc:Choice>
        </mc:AlternateContent>
        <mc:AlternateContent xmlns:mc="http://schemas.openxmlformats.org/markup-compatibility/2006">
          <mc:Choice Requires="x14">
            <control shapeId="1018" r:id="rId21" name="">
              <controlPr defaultSize="0" locked="1" autoFill="0" autoLine="0" autoPict="0" print="true" altText="Check Box 150">
                <anchor moveWithCells="true" sizeWithCells="false">
                  <from>
                    <xdr:col>10</xdr:col>
                    <xdr:colOff>488520</xdr:colOff>
                    <xdr:row>26</xdr:row>
                    <xdr:rowOff>53280</xdr:rowOff>
                  </from>
                  <to>
                    <xdr:col>11</xdr:col>
                    <xdr:colOff>-79920</xdr:colOff>
                    <xdr:row>27</xdr:row>
                    <xdr:rowOff>72360</xdr:rowOff>
                  </to>
                </anchor>
              </controlPr>
            </control>
          </mc:Choice>
        </mc:AlternateContent>
        <mc:AlternateContent xmlns:mc="http://schemas.openxmlformats.org/markup-compatibility/2006">
          <mc:Choice Requires="x14">
            <control shapeId="1019" r:id="rId22" name="">
              <controlPr defaultSize="0" locked="1" autoFill="0" autoLine="0" autoPict="0" print="true" altText="Check Box 151">
                <anchor moveWithCells="true" sizeWithCells="false">
                  <from>
                    <xdr:col>10</xdr:col>
                    <xdr:colOff>488520</xdr:colOff>
                    <xdr:row>27</xdr:row>
                    <xdr:rowOff>43920</xdr:rowOff>
                  </from>
                  <to>
                    <xdr:col>11</xdr:col>
                    <xdr:colOff>-79920</xdr:colOff>
                    <xdr:row>28</xdr:row>
                    <xdr:rowOff>63000</xdr:rowOff>
                  </to>
                </anchor>
              </controlPr>
            </control>
          </mc:Choice>
        </mc:AlternateContent>
        <mc:AlternateContent xmlns:mc="http://schemas.openxmlformats.org/markup-compatibility/2006">
          <mc:Choice Requires="x14">
            <control shapeId="1020" r:id="rId23" name="">
              <controlPr defaultSize="0" locked="1" autoFill="0" autoLine="0" autoPict="0" print="true" altText="Check Box 152">
                <anchor moveWithCells="true" sizeWithCells="false">
                  <from>
                    <xdr:col>10</xdr:col>
                    <xdr:colOff>488520</xdr:colOff>
                    <xdr:row>28</xdr:row>
                    <xdr:rowOff>34560</xdr:rowOff>
                  </from>
                  <to>
                    <xdr:col>11</xdr:col>
                    <xdr:colOff>-79920</xdr:colOff>
                    <xdr:row>29</xdr:row>
                    <xdr:rowOff>53280</xdr:rowOff>
                  </to>
                </anchor>
              </controlPr>
            </control>
          </mc:Choice>
        </mc:AlternateContent>
        <mc:AlternateContent xmlns:mc="http://schemas.openxmlformats.org/markup-compatibility/2006">
          <mc:Choice Requires="x14">
            <control shapeId="1021" r:id="rId24" name="">
              <controlPr defaultSize="0" locked="1" autoFill="0" autoLine="0" autoPict="0" print="true" altText="Check Box 153">
                <anchor moveWithCells="true" sizeWithCells="false">
                  <from>
                    <xdr:col>10</xdr:col>
                    <xdr:colOff>488520</xdr:colOff>
                    <xdr:row>29</xdr:row>
                    <xdr:rowOff>34200</xdr:rowOff>
                  </from>
                  <to>
                    <xdr:col>11</xdr:col>
                    <xdr:colOff>-79920</xdr:colOff>
                    <xdr:row>30</xdr:row>
                    <xdr:rowOff>52920</xdr:rowOff>
                  </to>
                </anchor>
              </controlPr>
            </control>
          </mc:Choice>
        </mc:AlternateContent>
        <mc:AlternateContent xmlns:mc="http://schemas.openxmlformats.org/markup-compatibility/2006">
          <mc:Choice Requires="x14">
            <control shapeId="1022" r:id="rId25" name="">
              <controlPr defaultSize="0" locked="1" autoFill="0" autoLine="0" autoPict="0" print="true" altText="Check Box 154">
                <anchor moveWithCells="true" sizeWithCells="false">
                  <from>
                    <xdr:col>10</xdr:col>
                    <xdr:colOff>488520</xdr:colOff>
                    <xdr:row>30</xdr:row>
                    <xdr:rowOff>24480</xdr:rowOff>
                  </from>
                  <to>
                    <xdr:col>11</xdr:col>
                    <xdr:colOff>-79920</xdr:colOff>
                    <xdr:row>31</xdr:row>
                    <xdr:rowOff>43560</xdr:rowOff>
                  </to>
                </anchor>
              </controlPr>
            </control>
          </mc:Choice>
        </mc:AlternateContent>
        <mc:AlternateContent xmlns:mc="http://schemas.openxmlformats.org/markup-compatibility/2006">
          <mc:Choice Requires="x14">
            <control shapeId="1023" r:id="rId26" name="">
              <controlPr defaultSize="0" locked="1" autoFill="0" autoLine="0" autoPict="0" print="true" altText="Check Box 155">
                <anchor moveWithCells="true" sizeWithCells="false">
                  <from>
                    <xdr:col>10</xdr:col>
                    <xdr:colOff>488520</xdr:colOff>
                    <xdr:row>31</xdr:row>
                    <xdr:rowOff>15120</xdr:rowOff>
                  </from>
                  <to>
                    <xdr:col>11</xdr:col>
                    <xdr:colOff>-79920</xdr:colOff>
                    <xdr:row>32</xdr:row>
                    <xdr:rowOff>34200</xdr:rowOff>
                  </to>
                </anchor>
              </controlPr>
            </control>
          </mc:Choice>
        </mc:AlternateContent>
        <mc:AlternateContent xmlns:mc="http://schemas.openxmlformats.org/markup-compatibility/2006">
          <mc:Choice Requires="x14">
            <control shapeId="1024" r:id="rId27" name="">
              <controlPr defaultSize="0" locked="1" autoFill="0" autoLine="0" autoPict="0" print="true" altText="Check Box 158">
                <anchor moveWithCells="true" sizeWithCells="false">
                  <from>
                    <xdr:col>10</xdr:col>
                    <xdr:colOff>488520</xdr:colOff>
                    <xdr:row>32</xdr:row>
                    <xdr:rowOff>5760</xdr:rowOff>
                  </from>
                  <to>
                    <xdr:col>11</xdr:col>
                    <xdr:colOff>-79920</xdr:colOff>
                    <xdr:row>33</xdr:row>
                    <xdr:rowOff>15480</xdr:rowOff>
                  </to>
                </anchor>
              </controlPr>
            </control>
          </mc:Choice>
        </mc:AlternateContent>
        <mc:AlternateContent xmlns:mc="http://schemas.openxmlformats.org/markup-compatibility/2006">
          <mc:Choice Requires="x14">
            <control shapeId="1025" r:id="rId28" name="">
              <controlPr defaultSize="0" locked="1" autoFill="0" autoLine="0" autoPict="0" print="true" altText="Check Box 160">
                <anchor moveWithCells="true" sizeWithCells="false">
                  <from>
                    <xdr:col>10</xdr:col>
                    <xdr:colOff>488520</xdr:colOff>
                    <xdr:row>32</xdr:row>
                    <xdr:rowOff>186840</xdr:rowOff>
                  </from>
                  <to>
                    <xdr:col>11</xdr:col>
                    <xdr:colOff>-79920</xdr:colOff>
                    <xdr:row>33</xdr:row>
                    <xdr:rowOff>186840</xdr:rowOff>
                  </to>
                </anchor>
              </controlPr>
            </control>
          </mc:Choice>
        </mc:AlternateContent>
        <mc:AlternateContent xmlns:mc="http://schemas.openxmlformats.org/markup-compatibility/2006">
          <mc:Choice Requires="x14">
            <control shapeId="1026" r:id="rId29" name="">
              <controlPr defaultSize="0" locked="1" autoFill="0" autoLine="0" autoPict="0" print="true" altText="Check Box 161">
                <anchor moveWithCells="true" sizeWithCells="false">
                  <from>
                    <xdr:col>10</xdr:col>
                    <xdr:colOff>488520</xdr:colOff>
                    <xdr:row>33</xdr:row>
                    <xdr:rowOff>186840</xdr:rowOff>
                  </from>
                  <to>
                    <xdr:col>11</xdr:col>
                    <xdr:colOff>-79920</xdr:colOff>
                    <xdr:row>35</xdr:row>
                    <xdr:rowOff>5400</xdr:rowOff>
                  </to>
                </anchor>
              </controlPr>
            </control>
          </mc:Choice>
        </mc:AlternateContent>
        <mc:AlternateContent xmlns:mc="http://schemas.openxmlformats.org/markup-compatibility/2006">
          <mc:Choice Requires="x14">
            <control shapeId="1027" r:id="rId30" name="">
              <controlPr defaultSize="0" locked="1" autoFill="0" autoLine="0" autoPict="0" print="true" altText="Check Box 162">
                <anchor moveWithCells="true" sizeWithCells="false">
                  <from>
                    <xdr:col>10</xdr:col>
                    <xdr:colOff>488520</xdr:colOff>
                    <xdr:row>34</xdr:row>
                    <xdr:rowOff>177120</xdr:rowOff>
                  </from>
                  <to>
                    <xdr:col>11</xdr:col>
                    <xdr:colOff>-79920</xdr:colOff>
                    <xdr:row>35</xdr:row>
                    <xdr:rowOff>186480</xdr:rowOff>
                  </to>
                </anchor>
              </controlPr>
            </control>
          </mc:Choice>
        </mc:AlternateContent>
        <mc:AlternateContent xmlns:mc="http://schemas.openxmlformats.org/markup-compatibility/2006">
          <mc:Choice Requires="x14">
            <control shapeId="1028" r:id="rId31" name="">
              <controlPr defaultSize="0" locked="1" autoFill="0" autoLine="0" autoPict="0" print="true" altText="Check Box 163">
                <anchor moveWithCells="true" sizeWithCells="false">
                  <from>
                    <xdr:col>10</xdr:col>
                    <xdr:colOff>488520</xdr:colOff>
                    <xdr:row>35</xdr:row>
                    <xdr:rowOff>167400</xdr:rowOff>
                  </from>
                  <to>
                    <xdr:col>11</xdr:col>
                    <xdr:colOff>-79920</xdr:colOff>
                    <xdr:row>36</xdr:row>
                    <xdr:rowOff>177120</xdr:rowOff>
                  </to>
                </anchor>
              </controlPr>
            </control>
          </mc:Choice>
        </mc:AlternateContent>
        <mc:AlternateContent xmlns:mc="http://schemas.openxmlformats.org/markup-compatibility/2006">
          <mc:Choice Requires="x14">
            <control shapeId="1029" r:id="rId32" name="">
              <controlPr defaultSize="0" locked="1" autoFill="0" autoLine="0" autoPict="0" print="true" altText="Check Box 164">
                <anchor moveWithCells="true" sizeWithCells="false">
                  <from>
                    <xdr:col>10</xdr:col>
                    <xdr:colOff>488520</xdr:colOff>
                    <xdr:row>36</xdr:row>
                    <xdr:rowOff>158040</xdr:rowOff>
                  </from>
                  <to>
                    <xdr:col>11</xdr:col>
                    <xdr:colOff>-79920</xdr:colOff>
                    <xdr:row>37</xdr:row>
                    <xdr:rowOff>177120</xdr:rowOff>
                  </to>
                </anchor>
              </controlPr>
            </control>
          </mc:Choice>
        </mc:AlternateContent>
        <mc:AlternateContent xmlns:mc="http://schemas.openxmlformats.org/markup-compatibility/2006">
          <mc:Choice Requires="x14">
            <control shapeId="1030" r:id="rId33" name="">
              <controlPr defaultSize="0" locked="1" autoFill="0" autoLine="0" autoPict="0" print="true" altText="Check Box 166">
                <anchor moveWithCells="true" sizeWithCells="false">
                  <from>
                    <xdr:col>10</xdr:col>
                    <xdr:colOff>488520</xdr:colOff>
                    <xdr:row>37</xdr:row>
                    <xdr:rowOff>148680</xdr:rowOff>
                  </from>
                  <to>
                    <xdr:col>11</xdr:col>
                    <xdr:colOff>-79920</xdr:colOff>
                    <xdr:row>38</xdr:row>
                    <xdr:rowOff>167760</xdr:rowOff>
                  </to>
                </anchor>
              </controlPr>
            </control>
          </mc:Choice>
        </mc:AlternateContent>
        <mc:AlternateContent xmlns:mc="http://schemas.openxmlformats.org/markup-compatibility/2006">
          <mc:Choice Requires="x14">
            <control shapeId="1031" r:id="rId34" name="">
              <controlPr defaultSize="0" locked="1" autoFill="0" autoLine="0" autoPict="0" print="true" altText="Check Box 167">
                <anchor moveWithCells="true" sizeWithCells="false">
                  <from>
                    <xdr:col>10</xdr:col>
                    <xdr:colOff>488520</xdr:colOff>
                    <xdr:row>38</xdr:row>
                    <xdr:rowOff>148680</xdr:rowOff>
                  </from>
                  <to>
                    <xdr:col>11</xdr:col>
                    <xdr:colOff>-79920</xdr:colOff>
                    <xdr:row>39</xdr:row>
                    <xdr:rowOff>167400</xdr:rowOff>
                  </to>
                </anchor>
              </controlPr>
            </control>
          </mc:Choice>
        </mc:AlternateContent>
        <mc:AlternateContent xmlns:mc="http://schemas.openxmlformats.org/markup-compatibility/2006">
          <mc:Choice Requires="x14">
            <control shapeId="1032" r:id="rId35" name="">
              <controlPr defaultSize="0" locked="1" autoFill="0" autoLine="0" autoPict="0" print="true" altText="Check Box 168">
                <anchor moveWithCells="true" sizeWithCells="false">
                  <from>
                    <xdr:col>10</xdr:col>
                    <xdr:colOff>488520</xdr:colOff>
                    <xdr:row>39</xdr:row>
                    <xdr:rowOff>138960</xdr:rowOff>
                  </from>
                  <to>
                    <xdr:col>11</xdr:col>
                    <xdr:colOff>-79920</xdr:colOff>
                    <xdr:row>40</xdr:row>
                    <xdr:rowOff>158400</xdr:rowOff>
                  </to>
                </anchor>
              </controlPr>
            </control>
          </mc:Choice>
        </mc:AlternateContent>
        <mc:AlternateContent xmlns:mc="http://schemas.openxmlformats.org/markup-compatibility/2006">
          <mc:Choice Requires="x14">
            <control shapeId="1033" r:id="rId36" name="">
              <controlPr defaultSize="0" locked="1" autoFill="0" autoLine="0" autoPict="0" print="true" altText="Check Box 197">
                <anchor moveWithCells="true" sizeWithCells="false">
                  <from>
                    <xdr:col>6</xdr:col>
                    <xdr:colOff>367920</xdr:colOff>
                    <xdr:row>10</xdr:row>
                    <xdr:rowOff>91440</xdr:rowOff>
                  </from>
                  <to>
                    <xdr:col>7</xdr:col>
                    <xdr:colOff>-238680</xdr:colOff>
                    <xdr:row>11</xdr:row>
                    <xdr:rowOff>24480</xdr:rowOff>
                  </to>
                </anchor>
              </controlPr>
            </control>
          </mc:Choice>
        </mc:AlternateContent>
        <mc:AlternateContent xmlns:mc="http://schemas.openxmlformats.org/markup-compatibility/2006">
          <mc:Choice Requires="x14">
            <control shapeId="1034" r:id="rId37" name="">
              <controlPr defaultSize="0" locked="1" autoFill="0" autoLine="0" autoPict="0" print="true" altText="Check Box 198">
                <anchor moveWithCells="true" sizeWithCells="false">
                  <from>
                    <xdr:col>6</xdr:col>
                    <xdr:colOff>367920</xdr:colOff>
                    <xdr:row>10</xdr:row>
                    <xdr:rowOff>177480</xdr:rowOff>
                  </from>
                  <to>
                    <xdr:col>7</xdr:col>
                    <xdr:colOff>-238680</xdr:colOff>
                    <xdr:row>12</xdr:row>
                    <xdr:rowOff>5760</xdr:rowOff>
                  </to>
                </anchor>
              </controlPr>
            </control>
          </mc:Choice>
        </mc:AlternateContent>
        <mc:AlternateContent xmlns:mc="http://schemas.openxmlformats.org/markup-compatibility/2006">
          <mc:Choice Requires="x14">
            <control shapeId="1035" r:id="rId38" name="">
              <controlPr defaultSize="0" locked="1" autoFill="0" autoLine="0" autoPict="0" print="true" altText="Check Box 224">
                <anchor moveWithCells="true" sizeWithCells="false">
                  <from>
                    <xdr:col>6</xdr:col>
                    <xdr:colOff>367920</xdr:colOff>
                    <xdr:row>11</xdr:row>
                    <xdr:rowOff>167400</xdr:rowOff>
                  </from>
                  <to>
                    <xdr:col>7</xdr:col>
                    <xdr:colOff>-238680</xdr:colOff>
                    <xdr:row>13</xdr:row>
                    <xdr:rowOff>5760</xdr:rowOff>
                  </to>
                </anchor>
              </controlPr>
            </control>
          </mc:Choice>
        </mc:AlternateContent>
        <mc:AlternateContent xmlns:mc="http://schemas.openxmlformats.org/markup-compatibility/2006">
          <mc:Choice Requires="x14">
            <control shapeId="1036" r:id="rId39" name="">
              <controlPr defaultSize="0" locked="1" autoFill="0" autoLine="0" autoPict="0" print="true" altText="Check Box 225">
                <anchor moveWithCells="true" sizeWithCells="false">
                  <from>
                    <xdr:col>6</xdr:col>
                    <xdr:colOff>367920</xdr:colOff>
                    <xdr:row>12</xdr:row>
                    <xdr:rowOff>158040</xdr:rowOff>
                  </from>
                  <to>
                    <xdr:col>7</xdr:col>
                    <xdr:colOff>-238680</xdr:colOff>
                    <xdr:row>13</xdr:row>
                    <xdr:rowOff>177480</xdr:rowOff>
                  </to>
                </anchor>
              </controlPr>
            </control>
          </mc:Choice>
        </mc:AlternateContent>
        <mc:AlternateContent xmlns:mc="http://schemas.openxmlformats.org/markup-compatibility/2006">
          <mc:Choice Requires="x14">
            <control shapeId="1037" r:id="rId40" name="">
              <controlPr defaultSize="0" locked="1" autoFill="0" autoLine="0" autoPict="0" print="true" altText="Check Box 228">
                <anchor moveWithCells="true" sizeWithCells="false">
                  <from>
                    <xdr:col>6</xdr:col>
                    <xdr:colOff>367920</xdr:colOff>
                    <xdr:row>15</xdr:row>
                    <xdr:rowOff>129600</xdr:rowOff>
                  </from>
                  <to>
                    <xdr:col>7</xdr:col>
                    <xdr:colOff>-238680</xdr:colOff>
                    <xdr:row>16</xdr:row>
                    <xdr:rowOff>167760</xdr:rowOff>
                  </to>
                </anchor>
              </controlPr>
            </control>
          </mc:Choice>
        </mc:AlternateContent>
        <mc:AlternateContent xmlns:mc="http://schemas.openxmlformats.org/markup-compatibility/2006">
          <mc:Choice Requires="x14">
            <control shapeId="1038" r:id="rId41" name="">
              <controlPr defaultSize="0" locked="1" autoFill="0" autoLine="0" autoPict="0" print="true" altText="Check Box 229">
                <anchor moveWithCells="true" sizeWithCells="false">
                  <from>
                    <xdr:col>6</xdr:col>
                    <xdr:colOff>367920</xdr:colOff>
                    <xdr:row>16</xdr:row>
                    <xdr:rowOff>119880</xdr:rowOff>
                  </from>
                  <to>
                    <xdr:col>7</xdr:col>
                    <xdr:colOff>-238680</xdr:colOff>
                    <xdr:row>17</xdr:row>
                    <xdr:rowOff>138960</xdr:rowOff>
                  </to>
                </anchor>
              </controlPr>
            </control>
          </mc:Choice>
        </mc:AlternateContent>
        <mc:AlternateContent xmlns:mc="http://schemas.openxmlformats.org/markup-compatibility/2006">
          <mc:Choice Requires="x14">
            <control shapeId="1039" r:id="rId42" name="">
              <controlPr defaultSize="0" locked="1" autoFill="0" autoLine="0" autoPict="0" print="true" altText="Check Box 226">
                <anchor moveWithCells="true" sizeWithCells="false">
                  <from>
                    <xdr:col>6</xdr:col>
                    <xdr:colOff>367920</xdr:colOff>
                    <xdr:row>13</xdr:row>
                    <xdr:rowOff>148680</xdr:rowOff>
                  </from>
                  <to>
                    <xdr:col>7</xdr:col>
                    <xdr:colOff>-238680</xdr:colOff>
                    <xdr:row>14</xdr:row>
                    <xdr:rowOff>177480</xdr:rowOff>
                  </to>
                </anchor>
              </controlPr>
            </control>
          </mc:Choice>
        </mc:AlternateContent>
        <mc:AlternateContent xmlns:mc="http://schemas.openxmlformats.org/markup-compatibility/2006">
          <mc:Choice Requires="x14">
            <control shapeId="1040" r:id="rId43" name="">
              <controlPr defaultSize="0" locked="1" autoFill="0" autoLine="0" autoPict="0" print="true" altText="Check Box 227">
                <anchor moveWithCells="true" sizeWithCells="false">
                  <from>
                    <xdr:col>6</xdr:col>
                    <xdr:colOff>367920</xdr:colOff>
                    <xdr:row>14</xdr:row>
                    <xdr:rowOff>139320</xdr:rowOff>
                  </from>
                  <to>
                    <xdr:col>7</xdr:col>
                    <xdr:colOff>-238680</xdr:colOff>
                    <xdr:row>15</xdr:row>
                    <xdr:rowOff>158040</xdr:rowOff>
                  </to>
                </anchor>
              </controlPr>
            </control>
          </mc:Choice>
        </mc:AlternateContent>
        <mc:AlternateContent xmlns:mc="http://schemas.openxmlformats.org/markup-compatibility/2006">
          <mc:Choice Requires="x14">
            <control shapeId="1041" r:id="rId44" name="">
              <controlPr defaultSize="0" locked="1" autoFill="0" autoLine="0" autoPict="0" print="true" altText="Check Box 236">
                <anchor moveWithCells="true" sizeWithCells="false">
                  <from>
                    <xdr:col>6</xdr:col>
                    <xdr:colOff>387000</xdr:colOff>
                    <xdr:row>23</xdr:row>
                    <xdr:rowOff>43560</xdr:rowOff>
                  </from>
                  <to>
                    <xdr:col>7</xdr:col>
                    <xdr:colOff>-238320</xdr:colOff>
                    <xdr:row>24</xdr:row>
                    <xdr:rowOff>91440</xdr:rowOff>
                  </to>
                </anchor>
              </controlPr>
            </control>
          </mc:Choice>
        </mc:AlternateContent>
        <mc:AlternateContent xmlns:mc="http://schemas.openxmlformats.org/markup-compatibility/2006">
          <mc:Choice Requires="x14">
            <control shapeId="1042" r:id="rId45" name="">
              <controlPr defaultSize="0" locked="1" autoFill="0" autoLine="0" autoPict="0" print="true" altText="Check Box 235">
                <anchor moveWithCells="true" sizeWithCells="false">
                  <from>
                    <xdr:col>6</xdr:col>
                    <xdr:colOff>387000</xdr:colOff>
                    <xdr:row>22</xdr:row>
                    <xdr:rowOff>72360</xdr:rowOff>
                  </from>
                  <to>
                    <xdr:col>7</xdr:col>
                    <xdr:colOff>-238320</xdr:colOff>
                    <xdr:row>23</xdr:row>
                    <xdr:rowOff>91440</xdr:rowOff>
                  </to>
                </anchor>
              </controlPr>
            </control>
          </mc:Choice>
        </mc:AlternateContent>
        <mc:AlternateContent xmlns:mc="http://schemas.openxmlformats.org/markup-compatibility/2006">
          <mc:Choice Requires="x14">
            <control shapeId="1043" r:id="rId46" name="">
              <controlPr defaultSize="0" locked="1" autoFill="0" autoLine="0" autoPict="0" print="true" altText="Check Box 234">
                <anchor moveWithCells="true" sizeWithCells="false">
                  <from>
                    <xdr:col>6</xdr:col>
                    <xdr:colOff>387000</xdr:colOff>
                    <xdr:row>21</xdr:row>
                    <xdr:rowOff>81720</xdr:rowOff>
                  </from>
                  <to>
                    <xdr:col>7</xdr:col>
                    <xdr:colOff>-238320</xdr:colOff>
                    <xdr:row>22</xdr:row>
                    <xdr:rowOff>101160</xdr:rowOff>
                  </to>
                </anchor>
              </controlPr>
            </control>
          </mc:Choice>
        </mc:AlternateContent>
        <mc:AlternateContent xmlns:mc="http://schemas.openxmlformats.org/markup-compatibility/2006">
          <mc:Choice Requires="x14">
            <control shapeId="1044" r:id="rId47" name="">
              <controlPr defaultSize="0" locked="1" autoFill="0" autoLine="0" autoPict="0" print="true" altText="Check Box 233">
                <anchor moveWithCells="true" sizeWithCells="false">
                  <from>
                    <xdr:col>6</xdr:col>
                    <xdr:colOff>387000</xdr:colOff>
                    <xdr:row>20</xdr:row>
                    <xdr:rowOff>91440</xdr:rowOff>
                  </from>
                  <to>
                    <xdr:col>7</xdr:col>
                    <xdr:colOff>-238320</xdr:colOff>
                    <xdr:row>21</xdr:row>
                    <xdr:rowOff>110520</xdr:rowOff>
                  </to>
                </anchor>
              </controlPr>
            </control>
          </mc:Choice>
        </mc:AlternateContent>
        <mc:AlternateContent xmlns:mc="http://schemas.openxmlformats.org/markup-compatibility/2006">
          <mc:Choice Requires="x14">
            <control shapeId="1045" r:id="rId48" name="">
              <controlPr defaultSize="0" locked="1" autoFill="0" autoLine="0" autoPict="0" print="true" altText="Check Box 232">
                <anchor moveWithCells="true" sizeWithCells="false">
                  <from>
                    <xdr:col>6</xdr:col>
                    <xdr:colOff>387000</xdr:colOff>
                    <xdr:row>19</xdr:row>
                    <xdr:rowOff>91440</xdr:rowOff>
                  </from>
                  <to>
                    <xdr:col>7</xdr:col>
                    <xdr:colOff>-238320</xdr:colOff>
                    <xdr:row>20</xdr:row>
                    <xdr:rowOff>138960</xdr:rowOff>
                  </to>
                </anchor>
              </controlPr>
            </control>
          </mc:Choice>
        </mc:AlternateContent>
        <mc:AlternateContent xmlns:mc="http://schemas.openxmlformats.org/markup-compatibility/2006">
          <mc:Choice Requires="x14">
            <control shapeId="1046" r:id="rId49" name="">
              <controlPr defaultSize="0" locked="1" autoFill="0" autoLine="0" autoPict="0" print="true" altText="Check Box 231">
                <anchor moveWithCells="true" sizeWithCells="false">
                  <from>
                    <xdr:col>6</xdr:col>
                    <xdr:colOff>387000</xdr:colOff>
                    <xdr:row>18</xdr:row>
                    <xdr:rowOff>100800</xdr:rowOff>
                  </from>
                  <to>
                    <xdr:col>7</xdr:col>
                    <xdr:colOff>-238320</xdr:colOff>
                    <xdr:row>19</xdr:row>
                    <xdr:rowOff>129600</xdr:rowOff>
                  </to>
                </anchor>
              </controlPr>
            </control>
          </mc:Choice>
        </mc:AlternateContent>
        <mc:AlternateContent xmlns:mc="http://schemas.openxmlformats.org/markup-compatibility/2006">
          <mc:Choice Requires="x14">
            <control shapeId="1047" r:id="rId50" name="">
              <controlPr defaultSize="0" locked="1" autoFill="0" autoLine="0" autoPict="0" print="true" altText="Check Box 230">
                <anchor moveWithCells="true" sizeWithCells="false">
                  <from>
                    <xdr:col>6</xdr:col>
                    <xdr:colOff>387000</xdr:colOff>
                    <xdr:row>17</xdr:row>
                    <xdr:rowOff>110160</xdr:rowOff>
                  </from>
                  <to>
                    <xdr:col>7</xdr:col>
                    <xdr:colOff>-238320</xdr:colOff>
                    <xdr:row>18</xdr:row>
                    <xdr:rowOff>148680</xdr:rowOff>
                  </to>
                </anchor>
              </controlPr>
            </control>
          </mc:Choice>
        </mc:AlternateContent>
        <mc:AlternateContent xmlns:mc="http://schemas.openxmlformats.org/markup-compatibility/2006">
          <mc:Choice Requires="x14">
            <control shapeId="1048" r:id="rId51" name="">
              <controlPr defaultSize="0" locked="1" autoFill="0" autoLine="0" autoPict="0" print="true" altText="Check Box 238">
                <anchor moveWithCells="true" sizeWithCells="false">
                  <from>
                    <xdr:col>6</xdr:col>
                    <xdr:colOff>387000</xdr:colOff>
                    <xdr:row>24</xdr:row>
                    <xdr:rowOff>63000</xdr:rowOff>
                  </from>
                  <to>
                    <xdr:col>7</xdr:col>
                    <xdr:colOff>-238320</xdr:colOff>
                    <xdr:row>25</xdr:row>
                    <xdr:rowOff>100800</xdr:rowOff>
                  </to>
                </anchor>
              </controlPr>
            </control>
          </mc:Choice>
        </mc:AlternateContent>
        <mc:AlternateContent xmlns:mc="http://schemas.openxmlformats.org/markup-compatibility/2006">
          <mc:Choice Requires="x14">
            <control shapeId="1049" r:id="rId52" name="">
              <controlPr defaultSize="0" locked="1" autoFill="0" autoLine="0" autoPict="0" print="true" altText="Check Box 239">
                <anchor moveWithCells="true" sizeWithCells="false">
                  <from>
                    <xdr:col>6</xdr:col>
                    <xdr:colOff>387000</xdr:colOff>
                    <xdr:row>25</xdr:row>
                    <xdr:rowOff>53280</xdr:rowOff>
                  </from>
                  <to>
                    <xdr:col>7</xdr:col>
                    <xdr:colOff>-238320</xdr:colOff>
                    <xdr:row>26</xdr:row>
                    <xdr:rowOff>91440</xdr:rowOff>
                  </to>
                </anchor>
              </controlPr>
            </control>
          </mc:Choice>
        </mc:AlternateContent>
        <mc:AlternateContent xmlns:mc="http://schemas.openxmlformats.org/markup-compatibility/2006">
          <mc:Choice Requires="x14">
            <control shapeId="1050" r:id="rId53" name="">
              <controlPr defaultSize="0" locked="1" autoFill="0" autoLine="0" autoPict="0" print="true" altText="Check Box 240">
                <anchor moveWithCells="true" sizeWithCells="false">
                  <from>
                    <xdr:col>6</xdr:col>
                    <xdr:colOff>387000</xdr:colOff>
                    <xdr:row>26</xdr:row>
                    <xdr:rowOff>43560</xdr:rowOff>
                  </from>
                  <to>
                    <xdr:col>7</xdr:col>
                    <xdr:colOff>-238320</xdr:colOff>
                    <xdr:row>27</xdr:row>
                    <xdr:rowOff>82080</xdr:rowOff>
                  </to>
                </anchor>
              </controlPr>
            </control>
          </mc:Choice>
        </mc:AlternateContent>
        <mc:AlternateContent xmlns:mc="http://schemas.openxmlformats.org/markup-compatibility/2006">
          <mc:Choice Requires="x14">
            <control shapeId="1051" r:id="rId54" name="">
              <controlPr defaultSize="0" locked="1" autoFill="0" autoLine="0" autoPict="0" print="true" altText="Check Box 241">
                <anchor moveWithCells="true" sizeWithCells="false">
                  <from>
                    <xdr:col>6</xdr:col>
                    <xdr:colOff>387000</xdr:colOff>
                    <xdr:row>27</xdr:row>
                    <xdr:rowOff>34200</xdr:rowOff>
                  </from>
                  <to>
                    <xdr:col>7</xdr:col>
                    <xdr:colOff>-238320</xdr:colOff>
                    <xdr:row>28</xdr:row>
                    <xdr:rowOff>53640</xdr:rowOff>
                  </to>
                </anchor>
              </controlPr>
            </control>
          </mc:Choice>
        </mc:AlternateContent>
        <mc:AlternateContent xmlns:mc="http://schemas.openxmlformats.org/markup-compatibility/2006">
          <mc:Choice Requires="x14">
            <control shapeId="1052" r:id="rId55" name="">
              <controlPr defaultSize="0" locked="1" autoFill="0" autoLine="0" autoPict="0" print="true" altText="Check Box 242">
                <anchor moveWithCells="true" sizeWithCells="false">
                  <from>
                    <xdr:col>6</xdr:col>
                    <xdr:colOff>387000</xdr:colOff>
                    <xdr:row>28</xdr:row>
                    <xdr:rowOff>24840</xdr:rowOff>
                  </from>
                  <to>
                    <xdr:col>7</xdr:col>
                    <xdr:colOff>-238320</xdr:colOff>
                    <xdr:row>29</xdr:row>
                    <xdr:rowOff>53280</xdr:rowOff>
                  </to>
                </anchor>
              </controlPr>
            </control>
          </mc:Choice>
        </mc:AlternateContent>
        <mc:AlternateContent xmlns:mc="http://schemas.openxmlformats.org/markup-compatibility/2006">
          <mc:Choice Requires="x14">
            <control shapeId="1053" r:id="rId56" name="">
              <controlPr defaultSize="0" locked="1" autoFill="0" autoLine="0" autoPict="0" print="true" altText="Check Box 243">
                <anchor moveWithCells="true" sizeWithCells="false">
                  <from>
                    <xdr:col>6</xdr:col>
                    <xdr:colOff>387000</xdr:colOff>
                    <xdr:row>29</xdr:row>
                    <xdr:rowOff>24840</xdr:rowOff>
                  </from>
                  <to>
                    <xdr:col>7</xdr:col>
                    <xdr:colOff>-228960</xdr:colOff>
                    <xdr:row>30</xdr:row>
                    <xdr:rowOff>62640</xdr:rowOff>
                  </to>
                </anchor>
              </controlPr>
            </control>
          </mc:Choice>
        </mc:AlternateContent>
        <mc:AlternateContent xmlns:mc="http://schemas.openxmlformats.org/markup-compatibility/2006">
          <mc:Choice Requires="x14">
            <control shapeId="1054" r:id="rId57" name="">
              <controlPr defaultSize="0" locked="1" autoFill="0" autoLine="0" autoPict="0" print="true" altText="Check Box 244">
                <anchor moveWithCells="true" sizeWithCells="false">
                  <from>
                    <xdr:col>6</xdr:col>
                    <xdr:colOff>387000</xdr:colOff>
                    <xdr:row>30</xdr:row>
                    <xdr:rowOff>24840</xdr:rowOff>
                  </from>
                  <to>
                    <xdr:col>7</xdr:col>
                    <xdr:colOff>-228960</xdr:colOff>
                    <xdr:row>31</xdr:row>
                    <xdr:rowOff>43920</xdr:rowOff>
                  </to>
                </anchor>
              </controlPr>
            </control>
          </mc:Choice>
        </mc:AlternateContent>
        <mc:AlternateContent xmlns:mc="http://schemas.openxmlformats.org/markup-compatibility/2006">
          <mc:Choice Requires="x14">
            <control shapeId="1055" r:id="rId58" name="">
              <controlPr defaultSize="0" locked="1" autoFill="0" autoLine="0" autoPict="0" print="true" altText="Check Box 245">
                <anchor moveWithCells="true" sizeWithCells="false">
                  <from>
                    <xdr:col>6</xdr:col>
                    <xdr:colOff>387000</xdr:colOff>
                    <xdr:row>31</xdr:row>
                    <xdr:rowOff>5400</xdr:rowOff>
                  </from>
                  <to>
                    <xdr:col>7</xdr:col>
                    <xdr:colOff>-228960</xdr:colOff>
                    <xdr:row>32</xdr:row>
                    <xdr:rowOff>63000</xdr:rowOff>
                  </to>
                </anchor>
              </controlPr>
            </control>
          </mc:Choice>
        </mc:AlternateContent>
        <mc:AlternateContent xmlns:mc="http://schemas.openxmlformats.org/markup-compatibility/2006">
          <mc:Choice Requires="x14">
            <control shapeId="1056" r:id="rId59" name="">
              <controlPr defaultSize="0" locked="1" autoFill="0" autoLine="0" autoPict="0" print="true" altText="Check Box 263">
                <anchor moveWithCells="true" sizeWithCells="false">
                  <from>
                    <xdr:col>7</xdr:col>
                    <xdr:colOff>28080</xdr:colOff>
                    <xdr:row>11</xdr:row>
                    <xdr:rowOff>167400</xdr:rowOff>
                  </from>
                  <to>
                    <xdr:col>8</xdr:col>
                    <xdr:colOff>-569160</xdr:colOff>
                    <xdr:row>13</xdr:row>
                    <xdr:rowOff>5760</xdr:rowOff>
                  </to>
                </anchor>
              </controlPr>
            </control>
          </mc:Choice>
        </mc:AlternateContent>
        <mc:AlternateContent xmlns:mc="http://schemas.openxmlformats.org/markup-compatibility/2006">
          <mc:Choice Requires="x14">
            <control shapeId="1057" r:id="rId60" name="">
              <controlPr defaultSize="0" locked="1" autoFill="0" autoLine="0" autoPict="0" print="true" altText="Check Box 264">
                <anchor moveWithCells="true" sizeWithCells="false">
                  <from>
                    <xdr:col>7</xdr:col>
                    <xdr:colOff>28080</xdr:colOff>
                    <xdr:row>12</xdr:row>
                    <xdr:rowOff>158040</xdr:rowOff>
                  </from>
                  <to>
                    <xdr:col>8</xdr:col>
                    <xdr:colOff>-569160</xdr:colOff>
                    <xdr:row>13</xdr:row>
                    <xdr:rowOff>186840</xdr:rowOff>
                  </to>
                </anchor>
              </controlPr>
            </control>
          </mc:Choice>
        </mc:AlternateContent>
        <mc:AlternateContent xmlns:mc="http://schemas.openxmlformats.org/markup-compatibility/2006">
          <mc:Choice Requires="x14">
            <control shapeId="1058" r:id="rId61" name="">
              <controlPr defaultSize="0" locked="1" autoFill="0" autoLine="0" autoPict="0" print="true" altText="Check Box 265">
                <anchor moveWithCells="true" sizeWithCells="false">
                  <from>
                    <xdr:col>7</xdr:col>
                    <xdr:colOff>28080</xdr:colOff>
                    <xdr:row>13</xdr:row>
                    <xdr:rowOff>148680</xdr:rowOff>
                  </from>
                  <to>
                    <xdr:col>8</xdr:col>
                    <xdr:colOff>-569160</xdr:colOff>
                    <xdr:row>14</xdr:row>
                    <xdr:rowOff>177480</xdr:rowOff>
                  </to>
                </anchor>
              </controlPr>
            </control>
          </mc:Choice>
        </mc:AlternateContent>
        <mc:AlternateContent xmlns:mc="http://schemas.openxmlformats.org/markup-compatibility/2006">
          <mc:Choice Requires="x14">
            <control shapeId="1059" r:id="rId62" name="">
              <controlPr defaultSize="0" locked="1" autoFill="0" autoLine="0" autoPict="0" print="true" altText="Check Box 266">
                <anchor moveWithCells="true" sizeWithCells="false">
                  <from>
                    <xdr:col>7</xdr:col>
                    <xdr:colOff>28080</xdr:colOff>
                    <xdr:row>14</xdr:row>
                    <xdr:rowOff>139320</xdr:rowOff>
                  </from>
                  <to>
                    <xdr:col>8</xdr:col>
                    <xdr:colOff>-569160</xdr:colOff>
                    <xdr:row>15</xdr:row>
                    <xdr:rowOff>177120</xdr:rowOff>
                  </to>
                </anchor>
              </controlPr>
            </control>
          </mc:Choice>
        </mc:AlternateContent>
        <mc:AlternateContent xmlns:mc="http://schemas.openxmlformats.org/markup-compatibility/2006">
          <mc:Choice Requires="x14">
            <control shapeId="1060" r:id="rId63" name="">
              <controlPr defaultSize="0" locked="1" autoFill="0" autoLine="0" autoPict="0" print="true" altText="Check Box 267">
                <anchor moveWithCells="true" sizeWithCells="false">
                  <from>
                    <xdr:col>7</xdr:col>
                    <xdr:colOff>28080</xdr:colOff>
                    <xdr:row>15</xdr:row>
                    <xdr:rowOff>129600</xdr:rowOff>
                  </from>
                  <to>
                    <xdr:col>8</xdr:col>
                    <xdr:colOff>-569160</xdr:colOff>
                    <xdr:row>16</xdr:row>
                    <xdr:rowOff>167760</xdr:rowOff>
                  </to>
                </anchor>
              </controlPr>
            </control>
          </mc:Choice>
        </mc:AlternateContent>
        <mc:AlternateContent xmlns:mc="http://schemas.openxmlformats.org/markup-compatibility/2006">
          <mc:Choice Requires="x14">
            <control shapeId="1061" r:id="rId64" name="">
              <controlPr defaultSize="0" locked="1" autoFill="0" autoLine="0" autoPict="0" print="true" altText="Check Box 268">
                <anchor moveWithCells="true" sizeWithCells="false">
                  <from>
                    <xdr:col>7</xdr:col>
                    <xdr:colOff>28080</xdr:colOff>
                    <xdr:row>16</xdr:row>
                    <xdr:rowOff>119880</xdr:rowOff>
                  </from>
                  <to>
                    <xdr:col>8</xdr:col>
                    <xdr:colOff>-569160</xdr:colOff>
                    <xdr:row>17</xdr:row>
                    <xdr:rowOff>158040</xdr:rowOff>
                  </to>
                </anchor>
              </controlPr>
            </control>
          </mc:Choice>
        </mc:AlternateContent>
        <mc:AlternateContent xmlns:mc="http://schemas.openxmlformats.org/markup-compatibility/2006">
          <mc:Choice Requires="x14">
            <control shapeId="1062" r:id="rId65" name="">
              <controlPr defaultSize="0" locked="1" autoFill="0" autoLine="0" autoPict="0" print="true" altText="Check Box 269">
                <anchor moveWithCells="true" sizeWithCells="false">
                  <from>
                    <xdr:col>7</xdr:col>
                    <xdr:colOff>28080</xdr:colOff>
                    <xdr:row>17</xdr:row>
                    <xdr:rowOff>119880</xdr:rowOff>
                  </from>
                  <to>
                    <xdr:col>8</xdr:col>
                    <xdr:colOff>-569160</xdr:colOff>
                    <xdr:row>18</xdr:row>
                    <xdr:rowOff>148680</xdr:rowOff>
                  </to>
                </anchor>
              </controlPr>
            </control>
          </mc:Choice>
        </mc:AlternateContent>
        <mc:AlternateContent xmlns:mc="http://schemas.openxmlformats.org/markup-compatibility/2006">
          <mc:Choice Requires="x14">
            <control shapeId="1063" r:id="rId66" name="">
              <controlPr defaultSize="0" locked="1" autoFill="0" autoLine="0" autoPict="0" print="true" altText="Check Box 270">
                <anchor moveWithCells="true" sizeWithCells="false">
                  <from>
                    <xdr:col>7</xdr:col>
                    <xdr:colOff>28080</xdr:colOff>
                    <xdr:row>18</xdr:row>
                    <xdr:rowOff>110520</xdr:rowOff>
                  </from>
                  <to>
                    <xdr:col>8</xdr:col>
                    <xdr:colOff>-569160</xdr:colOff>
                    <xdr:row>19</xdr:row>
                    <xdr:rowOff>139320</xdr:rowOff>
                  </to>
                </anchor>
              </controlPr>
            </control>
          </mc:Choice>
        </mc:AlternateContent>
        <mc:AlternateContent xmlns:mc="http://schemas.openxmlformats.org/markup-compatibility/2006">
          <mc:Choice Requires="x14">
            <control shapeId="1064" r:id="rId67" name="">
              <controlPr defaultSize="0" locked="1" autoFill="0" autoLine="0" autoPict="0" print="true" altText="Check Box 271">
                <anchor moveWithCells="true" sizeWithCells="false">
                  <from>
                    <xdr:col>7</xdr:col>
                    <xdr:colOff>28080</xdr:colOff>
                    <xdr:row>19</xdr:row>
                    <xdr:rowOff>101160</xdr:rowOff>
                  </from>
                  <to>
                    <xdr:col>8</xdr:col>
                    <xdr:colOff>-569160</xdr:colOff>
                    <xdr:row>20</xdr:row>
                    <xdr:rowOff>138960</xdr:rowOff>
                  </to>
                </anchor>
              </controlPr>
            </control>
          </mc:Choice>
        </mc:AlternateContent>
        <mc:AlternateContent xmlns:mc="http://schemas.openxmlformats.org/markup-compatibility/2006">
          <mc:Choice Requires="x14">
            <control shapeId="1065" r:id="rId68" name="">
              <controlPr defaultSize="0" locked="1" autoFill="0" autoLine="0" autoPict="0" print="true" altText="Check Box 272">
                <anchor moveWithCells="true" sizeWithCells="false">
                  <from>
                    <xdr:col>7</xdr:col>
                    <xdr:colOff>28080</xdr:colOff>
                    <xdr:row>20</xdr:row>
                    <xdr:rowOff>91440</xdr:rowOff>
                  </from>
                  <to>
                    <xdr:col>8</xdr:col>
                    <xdr:colOff>-569160</xdr:colOff>
                    <xdr:row>21</xdr:row>
                    <xdr:rowOff>129600</xdr:rowOff>
                  </to>
                </anchor>
              </controlPr>
            </control>
          </mc:Choice>
        </mc:AlternateContent>
        <mc:AlternateContent xmlns:mc="http://schemas.openxmlformats.org/markup-compatibility/2006">
          <mc:Choice Requires="x14">
            <control shapeId="1066" r:id="rId69" name="">
              <controlPr defaultSize="0" locked="1" autoFill="0" autoLine="0" autoPict="0" print="true" altText="Check Box 273">
                <anchor moveWithCells="true" sizeWithCells="false">
                  <from>
                    <xdr:col>7</xdr:col>
                    <xdr:colOff>28080</xdr:colOff>
                    <xdr:row>21</xdr:row>
                    <xdr:rowOff>81720</xdr:rowOff>
                  </from>
                  <to>
                    <xdr:col>8</xdr:col>
                    <xdr:colOff>-569160</xdr:colOff>
                    <xdr:row>22</xdr:row>
                    <xdr:rowOff>120240</xdr:rowOff>
                  </to>
                </anchor>
              </controlPr>
            </control>
          </mc:Choice>
        </mc:AlternateContent>
        <mc:AlternateContent xmlns:mc="http://schemas.openxmlformats.org/markup-compatibility/2006">
          <mc:Choice Requires="x14">
            <control shapeId="1067" r:id="rId70" name="">
              <controlPr defaultSize="0" locked="1" autoFill="0" autoLine="0" autoPict="0" print="true" altText="Check Box 274">
                <anchor moveWithCells="true" sizeWithCells="false">
                  <from>
                    <xdr:col>7</xdr:col>
                    <xdr:colOff>28080</xdr:colOff>
                    <xdr:row>22</xdr:row>
                    <xdr:rowOff>72360</xdr:rowOff>
                  </from>
                  <to>
                    <xdr:col>8</xdr:col>
                    <xdr:colOff>-569160</xdr:colOff>
                    <xdr:row>23</xdr:row>
                    <xdr:rowOff>91440</xdr:rowOff>
                  </to>
                </anchor>
              </controlPr>
            </control>
          </mc:Choice>
        </mc:AlternateContent>
        <mc:AlternateContent xmlns:mc="http://schemas.openxmlformats.org/markup-compatibility/2006">
          <mc:Choice Requires="x14">
            <control shapeId="1068" r:id="rId71" name="">
              <controlPr defaultSize="0" locked="1" autoFill="0" autoLine="0" autoPict="0" print="true" altText="Check Box 275">
                <anchor moveWithCells="true" sizeWithCells="false">
                  <from>
                    <xdr:col>7</xdr:col>
                    <xdr:colOff>28080</xdr:colOff>
                    <xdr:row>23</xdr:row>
                    <xdr:rowOff>62640</xdr:rowOff>
                  </from>
                  <to>
                    <xdr:col>8</xdr:col>
                    <xdr:colOff>-569160</xdr:colOff>
                    <xdr:row>24</xdr:row>
                    <xdr:rowOff>91440</xdr:rowOff>
                  </to>
                </anchor>
              </controlPr>
            </control>
          </mc:Choice>
        </mc:AlternateContent>
        <mc:AlternateContent xmlns:mc="http://schemas.openxmlformats.org/markup-compatibility/2006">
          <mc:Choice Requires="x14">
            <control shapeId="1069" r:id="rId72" name="">
              <controlPr defaultSize="0" locked="1" autoFill="0" autoLine="0" autoPict="0" print="true" altText="Check Box 276">
                <anchor moveWithCells="true" sizeWithCells="false">
                  <from>
                    <xdr:col>7</xdr:col>
                    <xdr:colOff>28080</xdr:colOff>
                    <xdr:row>24</xdr:row>
                    <xdr:rowOff>63000</xdr:rowOff>
                  </from>
                  <to>
                    <xdr:col>8</xdr:col>
                    <xdr:colOff>-569160</xdr:colOff>
                    <xdr:row>25</xdr:row>
                    <xdr:rowOff>119880</xdr:rowOff>
                  </to>
                </anchor>
              </controlPr>
            </control>
          </mc:Choice>
        </mc:AlternateContent>
        <mc:AlternateContent xmlns:mc="http://schemas.openxmlformats.org/markup-compatibility/2006">
          <mc:Choice Requires="x14">
            <control shapeId="1070" r:id="rId73" name="">
              <controlPr defaultSize="0" locked="1" autoFill="0" autoLine="0" autoPict="0" print="true" altText="Check Box 277">
                <anchor moveWithCells="true" sizeWithCells="false">
                  <from>
                    <xdr:col>7</xdr:col>
                    <xdr:colOff>28080</xdr:colOff>
                    <xdr:row>25</xdr:row>
                    <xdr:rowOff>63000</xdr:rowOff>
                  </from>
                  <to>
                    <xdr:col>8</xdr:col>
                    <xdr:colOff>-569160</xdr:colOff>
                    <xdr:row>26</xdr:row>
                    <xdr:rowOff>82080</xdr:rowOff>
                  </to>
                </anchor>
              </controlPr>
            </control>
          </mc:Choice>
        </mc:AlternateContent>
        <mc:AlternateContent xmlns:mc="http://schemas.openxmlformats.org/markup-compatibility/2006">
          <mc:Choice Requires="x14">
            <control shapeId="1071" r:id="rId74" name="">
              <controlPr defaultSize="0" locked="1" autoFill="0" autoLine="0" autoPict="0" print="true" altText="Check Box 278">
                <anchor moveWithCells="true" sizeWithCells="false">
                  <from>
                    <xdr:col>7</xdr:col>
                    <xdr:colOff>28080</xdr:colOff>
                    <xdr:row>26</xdr:row>
                    <xdr:rowOff>53280</xdr:rowOff>
                  </from>
                  <to>
                    <xdr:col>8</xdr:col>
                    <xdr:colOff>-569160</xdr:colOff>
                    <xdr:row>27</xdr:row>
                    <xdr:rowOff>72720</xdr:rowOff>
                  </to>
                </anchor>
              </controlPr>
            </control>
          </mc:Choice>
        </mc:AlternateContent>
        <mc:AlternateContent xmlns:mc="http://schemas.openxmlformats.org/markup-compatibility/2006">
          <mc:Choice Requires="x14">
            <control shapeId="1072" r:id="rId75" name="">
              <controlPr defaultSize="0" locked="1" autoFill="0" autoLine="0" autoPict="0" print="true" altText="Check Box 279">
                <anchor moveWithCells="true" sizeWithCells="false">
                  <from>
                    <xdr:col>7</xdr:col>
                    <xdr:colOff>28080</xdr:colOff>
                    <xdr:row>27</xdr:row>
                    <xdr:rowOff>43920</xdr:rowOff>
                  </from>
                  <to>
                    <xdr:col>8</xdr:col>
                    <xdr:colOff>-569160</xdr:colOff>
                    <xdr:row>28</xdr:row>
                    <xdr:rowOff>63360</xdr:rowOff>
                  </to>
                </anchor>
              </controlPr>
            </control>
          </mc:Choice>
        </mc:AlternateContent>
        <mc:AlternateContent xmlns:mc="http://schemas.openxmlformats.org/markup-compatibility/2006">
          <mc:Choice Requires="x14">
            <control shapeId="1073" r:id="rId76" name="">
              <controlPr defaultSize="0" locked="1" autoFill="0" autoLine="0" autoPict="0" print="true" altText="Check Box 280">
                <anchor moveWithCells="true" sizeWithCells="false">
                  <from>
                    <xdr:col>7</xdr:col>
                    <xdr:colOff>28080</xdr:colOff>
                    <xdr:row>28</xdr:row>
                    <xdr:rowOff>24840</xdr:rowOff>
                  </from>
                  <to>
                    <xdr:col>8</xdr:col>
                    <xdr:colOff>-569160</xdr:colOff>
                    <xdr:row>29</xdr:row>
                    <xdr:rowOff>72360</xdr:rowOff>
                  </to>
                </anchor>
              </controlPr>
            </control>
          </mc:Choice>
        </mc:AlternateContent>
        <mc:AlternateContent xmlns:mc="http://schemas.openxmlformats.org/markup-compatibility/2006">
          <mc:Choice Requires="x14">
            <control shapeId="1074" r:id="rId77" name="">
              <controlPr defaultSize="0" locked="1" autoFill="0" autoLine="0" autoPict="0" print="true" altText="Check Box 281">
                <anchor moveWithCells="true" sizeWithCells="false">
                  <from>
                    <xdr:col>7</xdr:col>
                    <xdr:colOff>37800</xdr:colOff>
                    <xdr:row>29</xdr:row>
                    <xdr:rowOff>34200</xdr:rowOff>
                  </from>
                  <to>
                    <xdr:col>8</xdr:col>
                    <xdr:colOff>-569160</xdr:colOff>
                    <xdr:row>30</xdr:row>
                    <xdr:rowOff>62640</xdr:rowOff>
                  </to>
                </anchor>
              </controlPr>
            </control>
          </mc:Choice>
        </mc:AlternateContent>
        <mc:AlternateContent xmlns:mc="http://schemas.openxmlformats.org/markup-compatibility/2006">
          <mc:Choice Requires="x14">
            <control shapeId="1075" r:id="rId78" name="">
              <controlPr defaultSize="0" locked="1" autoFill="0" autoLine="0" autoPict="0" print="true" altText="Check Box 282">
                <anchor moveWithCells="true" sizeWithCells="false">
                  <from>
                    <xdr:col>7</xdr:col>
                    <xdr:colOff>37800</xdr:colOff>
                    <xdr:row>30</xdr:row>
                    <xdr:rowOff>24840</xdr:rowOff>
                  </from>
                  <to>
                    <xdr:col>8</xdr:col>
                    <xdr:colOff>-569160</xdr:colOff>
                    <xdr:row>31</xdr:row>
                    <xdr:rowOff>43920</xdr:rowOff>
                  </to>
                </anchor>
              </controlPr>
            </control>
          </mc:Choice>
        </mc:AlternateContent>
        <mc:AlternateContent xmlns:mc="http://schemas.openxmlformats.org/markup-compatibility/2006">
          <mc:Choice Requires="x14">
            <control shapeId="1076" r:id="rId79" name="">
              <controlPr defaultSize="0" locked="1" autoFill="0" autoLine="0" autoPict="0" print="true" altText="Check Box 283">
                <anchor moveWithCells="true" sizeWithCells="false">
                  <from>
                    <xdr:col>7</xdr:col>
                    <xdr:colOff>37800</xdr:colOff>
                    <xdr:row>31</xdr:row>
                    <xdr:rowOff>15120</xdr:rowOff>
                  </from>
                  <to>
                    <xdr:col>8</xdr:col>
                    <xdr:colOff>-569160</xdr:colOff>
                    <xdr:row>32</xdr:row>
                    <xdr:rowOff>43920</xdr:rowOff>
                  </to>
                </anchor>
              </controlPr>
            </control>
          </mc:Choice>
        </mc:AlternateContent>
        <mc:AlternateContent xmlns:mc="http://schemas.openxmlformats.org/markup-compatibility/2006">
          <mc:Choice Requires="x14">
            <control shapeId="1077" r:id="rId80" name="">
              <controlPr defaultSize="0" locked="1" autoFill="0" autoLine="0" autoPict="0" print="true" altText="Check Box 289">
                <anchor moveWithCells="true" sizeWithCells="false">
                  <from>
                    <xdr:col>6</xdr:col>
                    <xdr:colOff>358200</xdr:colOff>
                    <xdr:row>32</xdr:row>
                    <xdr:rowOff>5760</xdr:rowOff>
                  </from>
                  <to>
                    <xdr:col>7</xdr:col>
                    <xdr:colOff>-248400</xdr:colOff>
                    <xdr:row>33</xdr:row>
                    <xdr:rowOff>34560</xdr:rowOff>
                  </to>
                </anchor>
              </controlPr>
            </control>
          </mc:Choice>
        </mc:AlternateContent>
        <mc:AlternateContent xmlns:mc="http://schemas.openxmlformats.org/markup-compatibility/2006">
          <mc:Choice Requires="x14">
            <control shapeId="1078" r:id="rId81" name="">
              <controlPr defaultSize="0" locked="1" autoFill="0" autoLine="0" autoPict="0" print="true" altText="Check Box 290">
                <anchor moveWithCells="true" sizeWithCells="false">
                  <from>
                    <xdr:col>6</xdr:col>
                    <xdr:colOff>358200</xdr:colOff>
                    <xdr:row>32</xdr:row>
                    <xdr:rowOff>186840</xdr:rowOff>
                  </from>
                  <to>
                    <xdr:col>7</xdr:col>
                    <xdr:colOff>-248400</xdr:colOff>
                    <xdr:row>33</xdr:row>
                    <xdr:rowOff>186840</xdr:rowOff>
                  </to>
                </anchor>
              </controlPr>
            </control>
          </mc:Choice>
        </mc:AlternateContent>
        <mc:AlternateContent xmlns:mc="http://schemas.openxmlformats.org/markup-compatibility/2006">
          <mc:Choice Requires="x14">
            <control shapeId="1079" r:id="rId82" name="">
              <controlPr defaultSize="0" locked="1" autoFill="0" autoLine="0" autoPict="0" print="true" altText="Check Box 291">
                <anchor moveWithCells="true" sizeWithCells="false">
                  <from>
                    <xdr:col>6</xdr:col>
                    <xdr:colOff>358200</xdr:colOff>
                    <xdr:row>33</xdr:row>
                    <xdr:rowOff>177480</xdr:rowOff>
                  </from>
                  <to>
                    <xdr:col>7</xdr:col>
                    <xdr:colOff>-248400</xdr:colOff>
                    <xdr:row>35</xdr:row>
                    <xdr:rowOff>5400</xdr:rowOff>
                  </to>
                </anchor>
              </controlPr>
            </control>
          </mc:Choice>
        </mc:AlternateContent>
        <mc:AlternateContent xmlns:mc="http://schemas.openxmlformats.org/markup-compatibility/2006">
          <mc:Choice Requires="x14">
            <control shapeId="1080" r:id="rId83" name="">
              <controlPr defaultSize="0" locked="1" autoFill="0" autoLine="0" autoPict="0" print="true" altText="Check Box 292">
                <anchor moveWithCells="true" sizeWithCells="false">
                  <from>
                    <xdr:col>6</xdr:col>
                    <xdr:colOff>358200</xdr:colOff>
                    <xdr:row>34</xdr:row>
                    <xdr:rowOff>177480</xdr:rowOff>
                  </from>
                  <to>
                    <xdr:col>7</xdr:col>
                    <xdr:colOff>-248400</xdr:colOff>
                    <xdr:row>35</xdr:row>
                    <xdr:rowOff>186480</xdr:rowOff>
                  </to>
                </anchor>
              </controlPr>
            </control>
          </mc:Choice>
        </mc:AlternateContent>
        <mc:AlternateContent xmlns:mc="http://schemas.openxmlformats.org/markup-compatibility/2006">
          <mc:Choice Requires="x14">
            <control shapeId="1081" r:id="rId84" name="">
              <controlPr defaultSize="0" locked="1" autoFill="0" autoLine="0" autoPict="0" print="true" altText="Check Box 293">
                <anchor moveWithCells="true" sizeWithCells="false">
                  <from>
                    <xdr:col>6</xdr:col>
                    <xdr:colOff>358200</xdr:colOff>
                    <xdr:row>35</xdr:row>
                    <xdr:rowOff>157680</xdr:rowOff>
                  </from>
                  <to>
                    <xdr:col>7</xdr:col>
                    <xdr:colOff>-248400</xdr:colOff>
                    <xdr:row>36</xdr:row>
                    <xdr:rowOff>177120</xdr:rowOff>
                  </to>
                </anchor>
              </controlPr>
            </control>
          </mc:Choice>
        </mc:AlternateContent>
        <mc:AlternateContent xmlns:mc="http://schemas.openxmlformats.org/markup-compatibility/2006">
          <mc:Choice Requires="x14">
            <control shapeId="1082" r:id="rId85" name="">
              <controlPr defaultSize="0" locked="1" autoFill="0" autoLine="0" autoPict="0" print="true" altText="Check Box 294">
                <anchor moveWithCells="true" sizeWithCells="false">
                  <from>
                    <xdr:col>7</xdr:col>
                    <xdr:colOff>28080</xdr:colOff>
                    <xdr:row>32</xdr:row>
                    <xdr:rowOff>5760</xdr:rowOff>
                  </from>
                  <to>
                    <xdr:col>8</xdr:col>
                    <xdr:colOff>-569160</xdr:colOff>
                    <xdr:row>33</xdr:row>
                    <xdr:rowOff>24840</xdr:rowOff>
                  </to>
                </anchor>
              </controlPr>
            </control>
          </mc:Choice>
        </mc:AlternateContent>
        <mc:AlternateContent xmlns:mc="http://schemas.openxmlformats.org/markup-compatibility/2006">
          <mc:Choice Requires="x14">
            <control shapeId="1083" r:id="rId86" name="">
              <controlPr defaultSize="0" locked="1" autoFill="0" autoLine="0" autoPict="0" print="true" altText="Check Box 295">
                <anchor moveWithCells="true" sizeWithCells="false">
                  <from>
                    <xdr:col>7</xdr:col>
                    <xdr:colOff>28080</xdr:colOff>
                    <xdr:row>32</xdr:row>
                    <xdr:rowOff>177120</xdr:rowOff>
                  </from>
                  <to>
                    <xdr:col>8</xdr:col>
                    <xdr:colOff>-569160</xdr:colOff>
                    <xdr:row>34</xdr:row>
                    <xdr:rowOff>15480</xdr:rowOff>
                  </to>
                </anchor>
              </controlPr>
            </control>
          </mc:Choice>
        </mc:AlternateContent>
        <mc:AlternateContent xmlns:mc="http://schemas.openxmlformats.org/markup-compatibility/2006">
          <mc:Choice Requires="x14">
            <control shapeId="1084" r:id="rId87" name="">
              <controlPr defaultSize="0" locked="1" autoFill="0" autoLine="0" autoPict="0" print="true" altText="Check Box 296">
                <anchor moveWithCells="true" sizeWithCells="false">
                  <from>
                    <xdr:col>7</xdr:col>
                    <xdr:colOff>28080</xdr:colOff>
                    <xdr:row>33</xdr:row>
                    <xdr:rowOff>167760</xdr:rowOff>
                  </from>
                  <to>
                    <xdr:col>8</xdr:col>
                    <xdr:colOff>-569160</xdr:colOff>
                    <xdr:row>35</xdr:row>
                    <xdr:rowOff>5400</xdr:rowOff>
                  </to>
                </anchor>
              </controlPr>
            </control>
          </mc:Choice>
        </mc:AlternateContent>
        <mc:AlternateContent xmlns:mc="http://schemas.openxmlformats.org/markup-compatibility/2006">
          <mc:Choice Requires="x14">
            <control shapeId="1085" r:id="rId88" name="">
              <controlPr defaultSize="0" locked="1" autoFill="0" autoLine="0" autoPict="0" print="true" altText="Check Box 297">
                <anchor moveWithCells="true" sizeWithCells="false">
                  <from>
                    <xdr:col>7</xdr:col>
                    <xdr:colOff>28080</xdr:colOff>
                    <xdr:row>34</xdr:row>
                    <xdr:rowOff>167760</xdr:rowOff>
                  </from>
                  <to>
                    <xdr:col>8</xdr:col>
                    <xdr:colOff>-569160</xdr:colOff>
                    <xdr:row>35</xdr:row>
                    <xdr:rowOff>186480</xdr:rowOff>
                  </to>
                </anchor>
              </controlPr>
            </control>
          </mc:Choice>
        </mc:AlternateContent>
        <mc:AlternateContent xmlns:mc="http://schemas.openxmlformats.org/markup-compatibility/2006">
          <mc:Choice Requires="x14">
            <control shapeId="1086" r:id="rId89" name="">
              <controlPr defaultSize="0" locked="1" autoFill="0" autoLine="0" autoPict="0" print="true" altText="Check Box 298">
                <anchor moveWithCells="true" sizeWithCells="false">
                  <from>
                    <xdr:col>7</xdr:col>
                    <xdr:colOff>28080</xdr:colOff>
                    <xdr:row>35</xdr:row>
                    <xdr:rowOff>157680</xdr:rowOff>
                  </from>
                  <to>
                    <xdr:col>8</xdr:col>
                    <xdr:colOff>-569160</xdr:colOff>
                    <xdr:row>36</xdr:row>
                    <xdr:rowOff>177120</xdr:rowOff>
                  </to>
                </anchor>
              </controlPr>
            </control>
          </mc:Choice>
        </mc:AlternateContent>
        <mc:AlternateContent xmlns:mc="http://schemas.openxmlformats.org/markup-compatibility/2006">
          <mc:Choice Requires="x14">
            <control shapeId="1087" r:id="rId90" name="">
              <controlPr defaultSize="0" locked="1" autoFill="0" autoLine="0" autoPict="0" print="true" altText="Check Box 299">
                <anchor moveWithCells="true" sizeWithCells="false">
                  <from>
                    <xdr:col>6</xdr:col>
                    <xdr:colOff>367920</xdr:colOff>
                    <xdr:row>36</xdr:row>
                    <xdr:rowOff>158040</xdr:rowOff>
                  </from>
                  <to>
                    <xdr:col>7</xdr:col>
                    <xdr:colOff>-238680</xdr:colOff>
                    <xdr:row>37</xdr:row>
                    <xdr:rowOff>186840</xdr:rowOff>
                  </to>
                </anchor>
              </controlPr>
            </control>
          </mc:Choice>
        </mc:AlternateContent>
        <mc:AlternateContent xmlns:mc="http://schemas.openxmlformats.org/markup-compatibility/2006">
          <mc:Choice Requires="x14">
            <control shapeId="1088" r:id="rId91" name="">
              <controlPr defaultSize="0" locked="1" autoFill="0" autoLine="0" autoPict="0" print="true" altText="Check Box 300">
                <anchor moveWithCells="true" sizeWithCells="false">
                  <from>
                    <xdr:col>6</xdr:col>
                    <xdr:colOff>367920</xdr:colOff>
                    <xdr:row>37</xdr:row>
                    <xdr:rowOff>148680</xdr:rowOff>
                  </from>
                  <to>
                    <xdr:col>7</xdr:col>
                    <xdr:colOff>-238680</xdr:colOff>
                    <xdr:row>38</xdr:row>
                    <xdr:rowOff>167760</xdr:rowOff>
                  </to>
                </anchor>
              </controlPr>
            </control>
          </mc:Choice>
        </mc:AlternateContent>
        <mc:AlternateContent xmlns:mc="http://schemas.openxmlformats.org/markup-compatibility/2006">
          <mc:Choice Requires="x14">
            <control shapeId="1089" r:id="rId92" name="">
              <controlPr defaultSize="0" locked="1" autoFill="0" autoLine="0" autoPict="0" print="true" altText="Check Box 301">
                <anchor moveWithCells="true" sizeWithCells="false">
                  <from>
                    <xdr:col>6</xdr:col>
                    <xdr:colOff>367920</xdr:colOff>
                    <xdr:row>38</xdr:row>
                    <xdr:rowOff>139320</xdr:rowOff>
                  </from>
                  <to>
                    <xdr:col>7</xdr:col>
                    <xdr:colOff>-238680</xdr:colOff>
                    <xdr:row>39</xdr:row>
                    <xdr:rowOff>158040</xdr:rowOff>
                  </to>
                </anchor>
              </controlPr>
            </control>
          </mc:Choice>
        </mc:AlternateContent>
        <mc:AlternateContent xmlns:mc="http://schemas.openxmlformats.org/markup-compatibility/2006">
          <mc:Choice Requires="x14">
            <control shapeId="1090" r:id="rId93" name="">
              <controlPr defaultSize="0" locked="1" autoFill="0" autoLine="0" autoPict="0" print="true" altText="Check Box 302">
                <anchor moveWithCells="true" sizeWithCells="false">
                  <from>
                    <xdr:col>6</xdr:col>
                    <xdr:colOff>367920</xdr:colOff>
                    <xdr:row>39</xdr:row>
                    <xdr:rowOff>139320</xdr:rowOff>
                  </from>
                  <to>
                    <xdr:col>7</xdr:col>
                    <xdr:colOff>-238680</xdr:colOff>
                    <xdr:row>40</xdr:row>
                    <xdr:rowOff>158400</xdr:rowOff>
                  </to>
                </anchor>
              </controlPr>
            </control>
          </mc:Choice>
        </mc:AlternateContent>
        <mc:AlternateContent xmlns:mc="http://schemas.openxmlformats.org/markup-compatibility/2006">
          <mc:Choice Requires="x14">
            <control shapeId="1091" r:id="rId94" name="">
              <controlPr defaultSize="0" locked="1" autoFill="0" autoLine="0" autoPict="0" print="true" altText="Check Box 304">
                <anchor moveWithCells="true" sizeWithCells="false">
                  <from>
                    <xdr:col>7</xdr:col>
                    <xdr:colOff>37800</xdr:colOff>
                    <xdr:row>36</xdr:row>
                    <xdr:rowOff>158040</xdr:rowOff>
                  </from>
                  <to>
                    <xdr:col>8</xdr:col>
                    <xdr:colOff>-569160</xdr:colOff>
                    <xdr:row>37</xdr:row>
                    <xdr:rowOff>186840</xdr:rowOff>
                  </to>
                </anchor>
              </controlPr>
            </control>
          </mc:Choice>
        </mc:AlternateContent>
        <mc:AlternateContent xmlns:mc="http://schemas.openxmlformats.org/markup-compatibility/2006">
          <mc:Choice Requires="x14">
            <control shapeId="1092" r:id="rId95" name="">
              <controlPr defaultSize="0" locked="1" autoFill="0" autoLine="0" autoPict="0" print="true" altText="Check Box 305">
                <anchor moveWithCells="true" sizeWithCells="false">
                  <from>
                    <xdr:col>7</xdr:col>
                    <xdr:colOff>37800</xdr:colOff>
                    <xdr:row>37</xdr:row>
                    <xdr:rowOff>148680</xdr:rowOff>
                  </from>
                  <to>
                    <xdr:col>8</xdr:col>
                    <xdr:colOff>-569160</xdr:colOff>
                    <xdr:row>38</xdr:row>
                    <xdr:rowOff>167760</xdr:rowOff>
                  </to>
                </anchor>
              </controlPr>
            </control>
          </mc:Choice>
        </mc:AlternateContent>
        <mc:AlternateContent xmlns:mc="http://schemas.openxmlformats.org/markup-compatibility/2006">
          <mc:Choice Requires="x14">
            <control shapeId="1093" r:id="rId96" name="">
              <controlPr defaultSize="0" locked="1" autoFill="0" autoLine="0" autoPict="0" print="true" altText="Check Box 306">
                <anchor moveWithCells="true" sizeWithCells="false">
                  <from>
                    <xdr:col>7</xdr:col>
                    <xdr:colOff>37800</xdr:colOff>
                    <xdr:row>38</xdr:row>
                    <xdr:rowOff>139320</xdr:rowOff>
                  </from>
                  <to>
                    <xdr:col>8</xdr:col>
                    <xdr:colOff>-569160</xdr:colOff>
                    <xdr:row>39</xdr:row>
                    <xdr:rowOff>158040</xdr:rowOff>
                  </to>
                </anchor>
              </controlPr>
            </control>
          </mc:Choice>
        </mc:AlternateContent>
        <mc:AlternateContent xmlns:mc="http://schemas.openxmlformats.org/markup-compatibility/2006">
          <mc:Choice Requires="x14">
            <control shapeId="1094" r:id="rId97" name="">
              <controlPr defaultSize="0" locked="1" autoFill="0" autoLine="0" autoPict="0" print="true" altText="Check Box 307">
                <anchor moveWithCells="true" sizeWithCells="false">
                  <from>
                    <xdr:col>7</xdr:col>
                    <xdr:colOff>37800</xdr:colOff>
                    <xdr:row>39</xdr:row>
                    <xdr:rowOff>139320</xdr:rowOff>
                  </from>
                  <to>
                    <xdr:col>8</xdr:col>
                    <xdr:colOff>-569160</xdr:colOff>
                    <xdr:row>40</xdr:row>
                    <xdr:rowOff>158400</xdr:rowOff>
                  </to>
                </anchor>
              </controlPr>
            </control>
          </mc:Choice>
        </mc:AlternateContent>
        <mc:AlternateContent xmlns:mc="http://schemas.openxmlformats.org/markup-compatibility/2006">
          <mc:Choice Requires="x14">
            <control shapeId="1095" r:id="rId98" name="">
              <controlPr defaultSize="0" locked="1" autoFill="0" autoLine="0" autoPict="0" print="true" altText="Check Box 261">
                <anchor moveWithCells="true" sizeWithCells="false">
                  <from>
                    <xdr:col>7</xdr:col>
                    <xdr:colOff>28080</xdr:colOff>
                    <xdr:row>10</xdr:row>
                    <xdr:rowOff>91440</xdr:rowOff>
                  </from>
                  <to>
                    <xdr:col>8</xdr:col>
                    <xdr:colOff>-569160</xdr:colOff>
                    <xdr:row>11</xdr:row>
                    <xdr:rowOff>43560</xdr:rowOff>
                  </to>
                </anchor>
              </controlPr>
            </control>
          </mc:Choice>
        </mc:AlternateContent>
        <mc:AlternateContent xmlns:mc="http://schemas.openxmlformats.org/markup-compatibility/2006">
          <mc:Choice Requires="x14">
            <control shapeId="1096" r:id="rId99" name="">
              <controlPr defaultSize="0" locked="1" autoFill="0" autoLine="0" autoPict="0" print="true" altText="Check Box 262">
                <anchor moveWithCells="true" sizeWithCells="false">
                  <from>
                    <xdr:col>7</xdr:col>
                    <xdr:colOff>28080</xdr:colOff>
                    <xdr:row>10</xdr:row>
                    <xdr:rowOff>177480</xdr:rowOff>
                  </from>
                  <to>
                    <xdr:col>8</xdr:col>
                    <xdr:colOff>-569160</xdr:colOff>
                    <xdr:row>12</xdr:row>
                    <xdr:rowOff>15120</xdr:rowOff>
                  </to>
                </anchor>
              </controlPr>
            </control>
          </mc:Choice>
        </mc:AlternateContent>
        <mc:AlternateContent xmlns:mc="http://schemas.openxmlformats.org/markup-compatibility/2006">
          <mc:Choice Requires="x14">
            <control shapeId="1097" r:id="rId100" name="">
              <controlPr defaultSize="0" locked="1" autoFill="0" autoLine="0" autoPict="0" print="true" altText="Check Box 513">
                <anchor moveWithCells="true" sizeWithCells="false">
                  <from>
                    <xdr:col>21</xdr:col>
                    <xdr:colOff>133200</xdr:colOff>
                    <xdr:row>8</xdr:row>
                    <xdr:rowOff>361800</xdr:rowOff>
                  </from>
                  <to>
                    <xdr:col>22</xdr:col>
                    <xdr:colOff>-324000</xdr:colOff>
                    <xdr:row>10</xdr:row>
                    <xdr:rowOff>28440</xdr:rowOff>
                  </to>
                </anchor>
              </controlPr>
            </control>
          </mc:Choice>
        </mc:AlternateContent>
        <mc:AlternateContent xmlns:mc="http://schemas.openxmlformats.org/markup-compatibility/2006">
          <mc:Choice Requires="x14">
            <control shapeId="1098" r:id="rId101" name="">
              <controlPr defaultSize="0" locked="1" autoFill="0" autoLine="0" autoPict="0" print="true" altText="Check Box 511">
                <anchor moveWithCells="true" sizeWithCells="false">
                  <from>
                    <xdr:col>22</xdr:col>
                    <xdr:colOff>133200</xdr:colOff>
                    <xdr:row>8</xdr:row>
                    <xdr:rowOff>361800</xdr:rowOff>
                  </from>
                  <to>
                    <xdr:col>23</xdr:col>
                    <xdr:colOff>-311040</xdr:colOff>
                    <xdr:row>10</xdr:row>
                    <xdr:rowOff>19080</xdr:rowOff>
                  </to>
                </anchor>
              </controlPr>
            </control>
          </mc:Choice>
        </mc:AlternateContent>
        <mc:AlternateContent xmlns:mc="http://schemas.openxmlformats.org/markup-compatibility/2006">
          <mc:Choice Requires="x14">
            <control shapeId="1099" r:id="rId102" name="">
              <controlPr defaultSize="0" locked="1" autoFill="0" autoLine="0" autoPict="0" print="true" altText="Check Box 663">
                <anchor moveWithCells="true" sizeWithCells="false">
                  <from>
                    <xdr:col>21</xdr:col>
                    <xdr:colOff>142920</xdr:colOff>
                    <xdr:row>9</xdr:row>
                    <xdr:rowOff>171360</xdr:rowOff>
                  </from>
                  <to>
                    <xdr:col>22</xdr:col>
                    <xdr:colOff>-314280</xdr:colOff>
                    <xdr:row>11</xdr:row>
                    <xdr:rowOff>28440</xdr:rowOff>
                  </to>
                </anchor>
              </controlPr>
            </control>
          </mc:Choice>
        </mc:AlternateContent>
        <mc:AlternateContent xmlns:mc="http://schemas.openxmlformats.org/markup-compatibility/2006">
          <mc:Choice Requires="x14">
            <control shapeId="1100" r:id="rId103" name="">
              <controlPr defaultSize="0" locked="1" autoFill="0" autoLine="0" autoPict="0" print="true" altText="Check Box 665">
                <anchor moveWithCells="true" sizeWithCells="false">
                  <from>
                    <xdr:col>22</xdr:col>
                    <xdr:colOff>133200</xdr:colOff>
                    <xdr:row>9</xdr:row>
                    <xdr:rowOff>152280</xdr:rowOff>
                  </from>
                  <to>
                    <xdr:col>23</xdr:col>
                    <xdr:colOff>-311040</xdr:colOff>
                    <xdr:row>11</xdr:row>
                    <xdr:rowOff>28440</xdr:rowOff>
                  </to>
                </anchor>
              </controlPr>
            </control>
          </mc:Choice>
        </mc:AlternateContent>
        <mc:AlternateContent xmlns:mc="http://schemas.openxmlformats.org/markup-compatibility/2006">
          <mc:Choice Requires="x14">
            <control shapeId="1101" r:id="rId104" name="">
              <controlPr defaultSize="0" locked="1" autoFill="0" autoLine="0" autoPict="0" print="true" altText="Check Box 855">
                <anchor moveWithCells="true" sizeWithCells="false">
                  <from>
                    <xdr:col>21</xdr:col>
                    <xdr:colOff>142920</xdr:colOff>
                    <xdr:row>10</xdr:row>
                    <xdr:rowOff>171360</xdr:rowOff>
                  </from>
                  <to>
                    <xdr:col>22</xdr:col>
                    <xdr:colOff>-314280</xdr:colOff>
                    <xdr:row>12</xdr:row>
                    <xdr:rowOff>28440</xdr:rowOff>
                  </to>
                </anchor>
              </controlPr>
            </control>
          </mc:Choice>
        </mc:AlternateContent>
        <mc:AlternateContent xmlns:mc="http://schemas.openxmlformats.org/markup-compatibility/2006">
          <mc:Choice Requires="x14">
            <control shapeId="1102" r:id="rId105" name="">
              <controlPr defaultSize="0" locked="1" autoFill="0" autoLine="0" autoPict="0" print="true" altText="Check Box 856">
                <anchor moveWithCells="true" sizeWithCells="false">
                  <from>
                    <xdr:col>22</xdr:col>
                    <xdr:colOff>133200</xdr:colOff>
                    <xdr:row>10</xdr:row>
                    <xdr:rowOff>152280</xdr:rowOff>
                  </from>
                  <to>
                    <xdr:col>23</xdr:col>
                    <xdr:colOff>-311040</xdr:colOff>
                    <xdr:row>12</xdr:row>
                    <xdr:rowOff>19080</xdr:rowOff>
                  </to>
                </anchor>
              </controlPr>
            </control>
          </mc:Choice>
        </mc:AlternateContent>
        <mc:AlternateContent xmlns:mc="http://schemas.openxmlformats.org/markup-compatibility/2006">
          <mc:Choice Requires="x14">
            <control shapeId="1103" r:id="rId106" name="">
              <controlPr defaultSize="0" locked="1" autoFill="0" autoLine="0" autoPict="0" print="true" altText="Check Box 857">
                <anchor moveWithCells="true" sizeWithCells="false">
                  <from>
                    <xdr:col>21</xdr:col>
                    <xdr:colOff>142920</xdr:colOff>
                    <xdr:row>11</xdr:row>
                    <xdr:rowOff>171360</xdr:rowOff>
                  </from>
                  <to>
                    <xdr:col>22</xdr:col>
                    <xdr:colOff>-314280</xdr:colOff>
                    <xdr:row>13</xdr:row>
                    <xdr:rowOff>28440</xdr:rowOff>
                  </to>
                </anchor>
              </controlPr>
            </control>
          </mc:Choice>
        </mc:AlternateContent>
        <mc:AlternateContent xmlns:mc="http://schemas.openxmlformats.org/markup-compatibility/2006">
          <mc:Choice Requires="x14">
            <control shapeId="1104" r:id="rId107" name="">
              <controlPr defaultSize="0" locked="1" autoFill="0" autoLine="0" autoPict="0" print="true" altText="Check Box 858">
                <anchor moveWithCells="true" sizeWithCells="false">
                  <from>
                    <xdr:col>22</xdr:col>
                    <xdr:colOff>133200</xdr:colOff>
                    <xdr:row>11</xdr:row>
                    <xdr:rowOff>152280</xdr:rowOff>
                  </from>
                  <to>
                    <xdr:col>23</xdr:col>
                    <xdr:colOff>-311040</xdr:colOff>
                    <xdr:row>13</xdr:row>
                    <xdr:rowOff>19080</xdr:rowOff>
                  </to>
                </anchor>
              </controlPr>
            </control>
          </mc:Choice>
        </mc:AlternateContent>
        <mc:AlternateContent xmlns:mc="http://schemas.openxmlformats.org/markup-compatibility/2006">
          <mc:Choice Requires="x14">
            <control shapeId="1105" r:id="rId108" name="">
              <controlPr defaultSize="0" locked="1" autoFill="0" autoLine="0" autoPict="0" print="true" altText="Check Box 859">
                <anchor moveWithCells="true" sizeWithCells="false">
                  <from>
                    <xdr:col>21</xdr:col>
                    <xdr:colOff>142920</xdr:colOff>
                    <xdr:row>12</xdr:row>
                    <xdr:rowOff>171360</xdr:rowOff>
                  </from>
                  <to>
                    <xdr:col>22</xdr:col>
                    <xdr:colOff>-314280</xdr:colOff>
                    <xdr:row>14</xdr:row>
                    <xdr:rowOff>19080</xdr:rowOff>
                  </to>
                </anchor>
              </controlPr>
            </control>
          </mc:Choice>
        </mc:AlternateContent>
        <mc:AlternateContent xmlns:mc="http://schemas.openxmlformats.org/markup-compatibility/2006">
          <mc:Choice Requires="x14">
            <control shapeId="1106" r:id="rId109" name="">
              <controlPr defaultSize="0" locked="1" autoFill="0" autoLine="0" autoPict="0" print="true" altText="Check Box 860">
                <anchor moveWithCells="true" sizeWithCells="false">
                  <from>
                    <xdr:col>22</xdr:col>
                    <xdr:colOff>133200</xdr:colOff>
                    <xdr:row>12</xdr:row>
                    <xdr:rowOff>152280</xdr:rowOff>
                  </from>
                  <to>
                    <xdr:col>23</xdr:col>
                    <xdr:colOff>-311040</xdr:colOff>
                    <xdr:row>14</xdr:row>
                    <xdr:rowOff>19080</xdr:rowOff>
                  </to>
                </anchor>
              </controlPr>
            </control>
          </mc:Choice>
        </mc:AlternateContent>
        <mc:AlternateContent xmlns:mc="http://schemas.openxmlformats.org/markup-compatibility/2006">
          <mc:Choice Requires="x14">
            <control shapeId="1107" r:id="rId110" name="">
              <controlPr defaultSize="0" locked="1" autoFill="0" autoLine="0" autoPict="0" print="true" altText="Check Box 861">
                <anchor moveWithCells="true" sizeWithCells="false">
                  <from>
                    <xdr:col>21</xdr:col>
                    <xdr:colOff>142920</xdr:colOff>
                    <xdr:row>13</xdr:row>
                    <xdr:rowOff>171360</xdr:rowOff>
                  </from>
                  <to>
                    <xdr:col>22</xdr:col>
                    <xdr:colOff>-314280</xdr:colOff>
                    <xdr:row>15</xdr:row>
                    <xdr:rowOff>19080</xdr:rowOff>
                  </to>
                </anchor>
              </controlPr>
            </control>
          </mc:Choice>
        </mc:AlternateContent>
        <mc:AlternateContent xmlns:mc="http://schemas.openxmlformats.org/markup-compatibility/2006">
          <mc:Choice Requires="x14">
            <control shapeId="1108" r:id="rId111" name="">
              <controlPr defaultSize="0" locked="1" autoFill="0" autoLine="0" autoPict="0" print="true" altText="Check Box 862">
                <anchor moveWithCells="true" sizeWithCells="false">
                  <from>
                    <xdr:col>22</xdr:col>
                    <xdr:colOff>133200</xdr:colOff>
                    <xdr:row>13</xdr:row>
                    <xdr:rowOff>152280</xdr:rowOff>
                  </from>
                  <to>
                    <xdr:col>23</xdr:col>
                    <xdr:colOff>-311040</xdr:colOff>
                    <xdr:row>15</xdr:row>
                    <xdr:rowOff>19080</xdr:rowOff>
                  </to>
                </anchor>
              </controlPr>
            </control>
          </mc:Choice>
        </mc:AlternateContent>
        <mc:AlternateContent xmlns:mc="http://schemas.openxmlformats.org/markup-compatibility/2006">
          <mc:Choice Requires="x14">
            <control shapeId="1109" r:id="rId112" name="">
              <controlPr defaultSize="0" locked="1" autoFill="0" autoLine="0" autoPict="0" print="true" altText="Check Box 863">
                <anchor moveWithCells="true" sizeWithCells="false">
                  <from>
                    <xdr:col>21</xdr:col>
                    <xdr:colOff>142920</xdr:colOff>
                    <xdr:row>14</xdr:row>
                    <xdr:rowOff>171360</xdr:rowOff>
                  </from>
                  <to>
                    <xdr:col>22</xdr:col>
                    <xdr:colOff>-314280</xdr:colOff>
                    <xdr:row>16</xdr:row>
                    <xdr:rowOff>28440</xdr:rowOff>
                  </to>
                </anchor>
              </controlPr>
            </control>
          </mc:Choice>
        </mc:AlternateContent>
        <mc:AlternateContent xmlns:mc="http://schemas.openxmlformats.org/markup-compatibility/2006">
          <mc:Choice Requires="x14">
            <control shapeId="1110" r:id="rId113" name="">
              <controlPr defaultSize="0" locked="1" autoFill="0" autoLine="0" autoPict="0" print="true" altText="Check Box 864">
                <anchor moveWithCells="true" sizeWithCells="false">
                  <from>
                    <xdr:col>22</xdr:col>
                    <xdr:colOff>133200</xdr:colOff>
                    <xdr:row>14</xdr:row>
                    <xdr:rowOff>152280</xdr:rowOff>
                  </from>
                  <to>
                    <xdr:col>23</xdr:col>
                    <xdr:colOff>-311040</xdr:colOff>
                    <xdr:row>16</xdr:row>
                    <xdr:rowOff>19080</xdr:rowOff>
                  </to>
                </anchor>
              </controlPr>
            </control>
          </mc:Choice>
        </mc:AlternateContent>
        <mc:AlternateContent xmlns:mc="http://schemas.openxmlformats.org/markup-compatibility/2006">
          <mc:Choice Requires="x14">
            <control shapeId="1111" r:id="rId114" name="">
              <controlPr defaultSize="0" locked="1" autoFill="0" autoLine="0" autoPict="0" print="true" altText="Check Box 865">
                <anchor moveWithCells="true" sizeWithCells="false">
                  <from>
                    <xdr:col>21</xdr:col>
                    <xdr:colOff>142920</xdr:colOff>
                    <xdr:row>15</xdr:row>
                    <xdr:rowOff>171360</xdr:rowOff>
                  </from>
                  <to>
                    <xdr:col>22</xdr:col>
                    <xdr:colOff>-314280</xdr:colOff>
                    <xdr:row>17</xdr:row>
                    <xdr:rowOff>28440</xdr:rowOff>
                  </to>
                </anchor>
              </controlPr>
            </control>
          </mc:Choice>
        </mc:AlternateContent>
        <mc:AlternateContent xmlns:mc="http://schemas.openxmlformats.org/markup-compatibility/2006">
          <mc:Choice Requires="x14">
            <control shapeId="1112" r:id="rId115" name="">
              <controlPr defaultSize="0" locked="1" autoFill="0" autoLine="0" autoPict="0" print="true" altText="Check Box 866">
                <anchor moveWithCells="true" sizeWithCells="false">
                  <from>
                    <xdr:col>22</xdr:col>
                    <xdr:colOff>133200</xdr:colOff>
                    <xdr:row>15</xdr:row>
                    <xdr:rowOff>152280</xdr:rowOff>
                  </from>
                  <to>
                    <xdr:col>23</xdr:col>
                    <xdr:colOff>-311040</xdr:colOff>
                    <xdr:row>17</xdr:row>
                    <xdr:rowOff>19080</xdr:rowOff>
                  </to>
                </anchor>
              </controlPr>
            </control>
          </mc:Choice>
        </mc:AlternateContent>
        <mc:AlternateContent xmlns:mc="http://schemas.openxmlformats.org/markup-compatibility/2006">
          <mc:Choice Requires="x14">
            <control shapeId="1113" r:id="rId116" name="">
              <controlPr defaultSize="0" locked="1" autoFill="0" autoLine="0" autoPict="0" print="true" altText="Check Box 867">
                <anchor moveWithCells="true" sizeWithCells="false">
                  <from>
                    <xdr:col>21</xdr:col>
                    <xdr:colOff>142920</xdr:colOff>
                    <xdr:row>16</xdr:row>
                    <xdr:rowOff>171360</xdr:rowOff>
                  </from>
                  <to>
                    <xdr:col>22</xdr:col>
                    <xdr:colOff>-314280</xdr:colOff>
                    <xdr:row>18</xdr:row>
                    <xdr:rowOff>28440</xdr:rowOff>
                  </to>
                </anchor>
              </controlPr>
            </control>
          </mc:Choice>
        </mc:AlternateContent>
        <mc:AlternateContent xmlns:mc="http://schemas.openxmlformats.org/markup-compatibility/2006">
          <mc:Choice Requires="x14">
            <control shapeId="1114" r:id="rId117" name="">
              <controlPr defaultSize="0" locked="1" autoFill="0" autoLine="0" autoPict="0" print="true" altText="Check Box 868">
                <anchor moveWithCells="true" sizeWithCells="false">
                  <from>
                    <xdr:col>22</xdr:col>
                    <xdr:colOff>133200</xdr:colOff>
                    <xdr:row>16</xdr:row>
                    <xdr:rowOff>152280</xdr:rowOff>
                  </from>
                  <to>
                    <xdr:col>23</xdr:col>
                    <xdr:colOff>-311040</xdr:colOff>
                    <xdr:row>18</xdr:row>
                    <xdr:rowOff>19080</xdr:rowOff>
                  </to>
                </anchor>
              </controlPr>
            </control>
          </mc:Choice>
        </mc:AlternateContent>
        <mc:AlternateContent xmlns:mc="http://schemas.openxmlformats.org/markup-compatibility/2006">
          <mc:Choice Requires="x14">
            <control shapeId="1115" r:id="rId118" name="">
              <controlPr defaultSize="0" locked="1" autoFill="0" autoLine="0" autoPict="0" print="true" altText="Check Box 869">
                <anchor moveWithCells="true" sizeWithCells="false">
                  <from>
                    <xdr:col>21</xdr:col>
                    <xdr:colOff>142920</xdr:colOff>
                    <xdr:row>17</xdr:row>
                    <xdr:rowOff>171360</xdr:rowOff>
                  </from>
                  <to>
                    <xdr:col>22</xdr:col>
                    <xdr:colOff>-314280</xdr:colOff>
                    <xdr:row>19</xdr:row>
                    <xdr:rowOff>19080</xdr:rowOff>
                  </to>
                </anchor>
              </controlPr>
            </control>
          </mc:Choice>
        </mc:AlternateContent>
        <mc:AlternateContent xmlns:mc="http://schemas.openxmlformats.org/markup-compatibility/2006">
          <mc:Choice Requires="x14">
            <control shapeId="1116" r:id="rId119" name="">
              <controlPr defaultSize="0" locked="1" autoFill="0" autoLine="0" autoPict="0" print="true" altText="Check Box 870">
                <anchor moveWithCells="true" sizeWithCells="false">
                  <from>
                    <xdr:col>22</xdr:col>
                    <xdr:colOff>133200</xdr:colOff>
                    <xdr:row>17</xdr:row>
                    <xdr:rowOff>152280</xdr:rowOff>
                  </from>
                  <to>
                    <xdr:col>23</xdr:col>
                    <xdr:colOff>-311040</xdr:colOff>
                    <xdr:row>19</xdr:row>
                    <xdr:rowOff>19080</xdr:rowOff>
                  </to>
                </anchor>
              </controlPr>
            </control>
          </mc:Choice>
        </mc:AlternateContent>
        <mc:AlternateContent xmlns:mc="http://schemas.openxmlformats.org/markup-compatibility/2006">
          <mc:Choice Requires="x14">
            <control shapeId="1117" r:id="rId120" name="">
              <controlPr defaultSize="0" locked="1" autoFill="0" autoLine="0" autoPict="0" print="true" altText="Check Box 871">
                <anchor moveWithCells="true" sizeWithCells="false">
                  <from>
                    <xdr:col>21</xdr:col>
                    <xdr:colOff>142920</xdr:colOff>
                    <xdr:row>18</xdr:row>
                    <xdr:rowOff>171360</xdr:rowOff>
                  </from>
                  <to>
                    <xdr:col>22</xdr:col>
                    <xdr:colOff>-314280</xdr:colOff>
                    <xdr:row>20</xdr:row>
                    <xdr:rowOff>19080</xdr:rowOff>
                  </to>
                </anchor>
              </controlPr>
            </control>
          </mc:Choice>
        </mc:AlternateContent>
        <mc:AlternateContent xmlns:mc="http://schemas.openxmlformats.org/markup-compatibility/2006">
          <mc:Choice Requires="x14">
            <control shapeId="1118" r:id="rId121" name="">
              <controlPr defaultSize="0" locked="1" autoFill="0" autoLine="0" autoPict="0" print="true" altText="Check Box 872">
                <anchor moveWithCells="true" sizeWithCells="false">
                  <from>
                    <xdr:col>22</xdr:col>
                    <xdr:colOff>133200</xdr:colOff>
                    <xdr:row>18</xdr:row>
                    <xdr:rowOff>152280</xdr:rowOff>
                  </from>
                  <to>
                    <xdr:col>23</xdr:col>
                    <xdr:colOff>-311040</xdr:colOff>
                    <xdr:row>20</xdr:row>
                    <xdr:rowOff>19080</xdr:rowOff>
                  </to>
                </anchor>
              </controlPr>
            </control>
          </mc:Choice>
        </mc:AlternateContent>
        <mc:AlternateContent xmlns:mc="http://schemas.openxmlformats.org/markup-compatibility/2006">
          <mc:Choice Requires="x14">
            <control shapeId="1119" r:id="rId122" name="">
              <controlPr defaultSize="0" locked="1" autoFill="0" autoLine="0" autoPict="0" print="true" altText="Check Box 873">
                <anchor moveWithCells="true" sizeWithCells="false">
                  <from>
                    <xdr:col>21</xdr:col>
                    <xdr:colOff>142920</xdr:colOff>
                    <xdr:row>19</xdr:row>
                    <xdr:rowOff>171360</xdr:rowOff>
                  </from>
                  <to>
                    <xdr:col>22</xdr:col>
                    <xdr:colOff>-314280</xdr:colOff>
                    <xdr:row>21</xdr:row>
                    <xdr:rowOff>28440</xdr:rowOff>
                  </to>
                </anchor>
              </controlPr>
            </control>
          </mc:Choice>
        </mc:AlternateContent>
        <mc:AlternateContent xmlns:mc="http://schemas.openxmlformats.org/markup-compatibility/2006">
          <mc:Choice Requires="x14">
            <control shapeId="1120" r:id="rId123" name="">
              <controlPr defaultSize="0" locked="1" autoFill="0" autoLine="0" autoPict="0" print="true" altText="Check Box 874">
                <anchor moveWithCells="true" sizeWithCells="false">
                  <from>
                    <xdr:col>22</xdr:col>
                    <xdr:colOff>133200</xdr:colOff>
                    <xdr:row>19</xdr:row>
                    <xdr:rowOff>152280</xdr:rowOff>
                  </from>
                  <to>
                    <xdr:col>23</xdr:col>
                    <xdr:colOff>-311040</xdr:colOff>
                    <xdr:row>21</xdr:row>
                    <xdr:rowOff>19080</xdr:rowOff>
                  </to>
                </anchor>
              </controlPr>
            </control>
          </mc:Choice>
        </mc:AlternateContent>
        <mc:AlternateContent xmlns:mc="http://schemas.openxmlformats.org/markup-compatibility/2006">
          <mc:Choice Requires="x14">
            <control shapeId="1121" r:id="rId124" name="">
              <controlPr defaultSize="0" locked="1" autoFill="0" autoLine="0" autoPict="0" print="true" altText="Check Box 875">
                <anchor moveWithCells="true" sizeWithCells="false">
                  <from>
                    <xdr:col>21</xdr:col>
                    <xdr:colOff>142920</xdr:colOff>
                    <xdr:row>20</xdr:row>
                    <xdr:rowOff>171360</xdr:rowOff>
                  </from>
                  <to>
                    <xdr:col>22</xdr:col>
                    <xdr:colOff>-314280</xdr:colOff>
                    <xdr:row>22</xdr:row>
                    <xdr:rowOff>28440</xdr:rowOff>
                  </to>
                </anchor>
              </controlPr>
            </control>
          </mc:Choice>
        </mc:AlternateContent>
        <mc:AlternateContent xmlns:mc="http://schemas.openxmlformats.org/markup-compatibility/2006">
          <mc:Choice Requires="x14">
            <control shapeId="1122" r:id="rId125" name="">
              <controlPr defaultSize="0" locked="1" autoFill="0" autoLine="0" autoPict="0" print="true" altText="Check Box 876">
                <anchor moveWithCells="true" sizeWithCells="false">
                  <from>
                    <xdr:col>22</xdr:col>
                    <xdr:colOff>133200</xdr:colOff>
                    <xdr:row>20</xdr:row>
                    <xdr:rowOff>152280</xdr:rowOff>
                  </from>
                  <to>
                    <xdr:col>23</xdr:col>
                    <xdr:colOff>-311040</xdr:colOff>
                    <xdr:row>22</xdr:row>
                    <xdr:rowOff>19080</xdr:rowOff>
                  </to>
                </anchor>
              </controlPr>
            </control>
          </mc:Choice>
        </mc:AlternateContent>
        <mc:AlternateContent xmlns:mc="http://schemas.openxmlformats.org/markup-compatibility/2006">
          <mc:Choice Requires="x14">
            <control shapeId="1123" r:id="rId126" name="">
              <controlPr defaultSize="0" locked="1" autoFill="0" autoLine="0" autoPict="0" print="true" altText="Check Box 877">
                <anchor moveWithCells="true" sizeWithCells="false">
                  <from>
                    <xdr:col>21</xdr:col>
                    <xdr:colOff>142920</xdr:colOff>
                    <xdr:row>21</xdr:row>
                    <xdr:rowOff>171360</xdr:rowOff>
                  </from>
                  <to>
                    <xdr:col>22</xdr:col>
                    <xdr:colOff>-314280</xdr:colOff>
                    <xdr:row>23</xdr:row>
                    <xdr:rowOff>28440</xdr:rowOff>
                  </to>
                </anchor>
              </controlPr>
            </control>
          </mc:Choice>
        </mc:AlternateContent>
        <mc:AlternateContent xmlns:mc="http://schemas.openxmlformats.org/markup-compatibility/2006">
          <mc:Choice Requires="x14">
            <control shapeId="1124" r:id="rId127" name="">
              <controlPr defaultSize="0" locked="1" autoFill="0" autoLine="0" autoPict="0" print="true" altText="Check Box 878">
                <anchor moveWithCells="true" sizeWithCells="false">
                  <from>
                    <xdr:col>22</xdr:col>
                    <xdr:colOff>133200</xdr:colOff>
                    <xdr:row>21</xdr:row>
                    <xdr:rowOff>152280</xdr:rowOff>
                  </from>
                  <to>
                    <xdr:col>23</xdr:col>
                    <xdr:colOff>-311040</xdr:colOff>
                    <xdr:row>23</xdr:row>
                    <xdr:rowOff>19080</xdr:rowOff>
                  </to>
                </anchor>
              </controlPr>
            </control>
          </mc:Choice>
        </mc:AlternateContent>
        <mc:AlternateContent xmlns:mc="http://schemas.openxmlformats.org/markup-compatibility/2006">
          <mc:Choice Requires="x14">
            <control shapeId="1125" r:id="rId128" name="">
              <controlPr defaultSize="0" locked="1" autoFill="0" autoLine="0" autoPict="0" print="true" altText="Check Box 879">
                <anchor moveWithCells="true" sizeWithCells="false">
                  <from>
                    <xdr:col>21</xdr:col>
                    <xdr:colOff>142920</xdr:colOff>
                    <xdr:row>22</xdr:row>
                    <xdr:rowOff>171360</xdr:rowOff>
                  </from>
                  <to>
                    <xdr:col>22</xdr:col>
                    <xdr:colOff>-314280</xdr:colOff>
                    <xdr:row>24</xdr:row>
                    <xdr:rowOff>19080</xdr:rowOff>
                  </to>
                </anchor>
              </controlPr>
            </control>
          </mc:Choice>
        </mc:AlternateContent>
        <mc:AlternateContent xmlns:mc="http://schemas.openxmlformats.org/markup-compatibility/2006">
          <mc:Choice Requires="x14">
            <control shapeId="1126" r:id="rId129" name="">
              <controlPr defaultSize="0" locked="1" autoFill="0" autoLine="0" autoPict="0" print="true" altText="Check Box 880">
                <anchor moveWithCells="true" sizeWithCells="false">
                  <from>
                    <xdr:col>22</xdr:col>
                    <xdr:colOff>133200</xdr:colOff>
                    <xdr:row>22</xdr:row>
                    <xdr:rowOff>152280</xdr:rowOff>
                  </from>
                  <to>
                    <xdr:col>23</xdr:col>
                    <xdr:colOff>-311040</xdr:colOff>
                    <xdr:row>24</xdr:row>
                    <xdr:rowOff>19080</xdr:rowOff>
                  </to>
                </anchor>
              </controlPr>
            </control>
          </mc:Choice>
        </mc:AlternateContent>
        <mc:AlternateContent xmlns:mc="http://schemas.openxmlformats.org/markup-compatibility/2006">
          <mc:Choice Requires="x14">
            <control shapeId="1127" r:id="rId130" name="">
              <controlPr defaultSize="0" locked="1" autoFill="0" autoLine="0" autoPict="0" print="true" altText="Check Box 881">
                <anchor moveWithCells="true" sizeWithCells="false">
                  <from>
                    <xdr:col>21</xdr:col>
                    <xdr:colOff>142920</xdr:colOff>
                    <xdr:row>23</xdr:row>
                    <xdr:rowOff>171360</xdr:rowOff>
                  </from>
                  <to>
                    <xdr:col>22</xdr:col>
                    <xdr:colOff>-314280</xdr:colOff>
                    <xdr:row>25</xdr:row>
                    <xdr:rowOff>19080</xdr:rowOff>
                  </to>
                </anchor>
              </controlPr>
            </control>
          </mc:Choice>
        </mc:AlternateContent>
        <mc:AlternateContent xmlns:mc="http://schemas.openxmlformats.org/markup-compatibility/2006">
          <mc:Choice Requires="x14">
            <control shapeId="1128" r:id="rId131" name="">
              <controlPr defaultSize="0" locked="1" autoFill="0" autoLine="0" autoPict="0" print="true" altText="Check Box 882">
                <anchor moveWithCells="true" sizeWithCells="false">
                  <from>
                    <xdr:col>22</xdr:col>
                    <xdr:colOff>133200</xdr:colOff>
                    <xdr:row>23</xdr:row>
                    <xdr:rowOff>152280</xdr:rowOff>
                  </from>
                  <to>
                    <xdr:col>23</xdr:col>
                    <xdr:colOff>-311040</xdr:colOff>
                    <xdr:row>25</xdr:row>
                    <xdr:rowOff>19080</xdr:rowOff>
                  </to>
                </anchor>
              </controlPr>
            </control>
          </mc:Choice>
        </mc:AlternateContent>
        <mc:AlternateContent xmlns:mc="http://schemas.openxmlformats.org/markup-compatibility/2006">
          <mc:Choice Requires="x14">
            <control shapeId="1129" r:id="rId132" name="">
              <controlPr defaultSize="0" locked="1" autoFill="0" autoLine="0" autoPict="0" print="true" altText="Check Box 883">
                <anchor moveWithCells="true" sizeWithCells="false">
                  <from>
                    <xdr:col>21</xdr:col>
                    <xdr:colOff>142920</xdr:colOff>
                    <xdr:row>24</xdr:row>
                    <xdr:rowOff>171360</xdr:rowOff>
                  </from>
                  <to>
                    <xdr:col>22</xdr:col>
                    <xdr:colOff>-314280</xdr:colOff>
                    <xdr:row>26</xdr:row>
                    <xdr:rowOff>28440</xdr:rowOff>
                  </to>
                </anchor>
              </controlPr>
            </control>
          </mc:Choice>
        </mc:AlternateContent>
        <mc:AlternateContent xmlns:mc="http://schemas.openxmlformats.org/markup-compatibility/2006">
          <mc:Choice Requires="x14">
            <control shapeId="1130" r:id="rId133" name="">
              <controlPr defaultSize="0" locked="1" autoFill="0" autoLine="0" autoPict="0" print="true" altText="Check Box 884">
                <anchor moveWithCells="true" sizeWithCells="false">
                  <from>
                    <xdr:col>22</xdr:col>
                    <xdr:colOff>133200</xdr:colOff>
                    <xdr:row>24</xdr:row>
                    <xdr:rowOff>152280</xdr:rowOff>
                  </from>
                  <to>
                    <xdr:col>23</xdr:col>
                    <xdr:colOff>-311040</xdr:colOff>
                    <xdr:row>26</xdr:row>
                    <xdr:rowOff>19080</xdr:rowOff>
                  </to>
                </anchor>
              </controlPr>
            </control>
          </mc:Choice>
        </mc:AlternateContent>
        <mc:AlternateContent xmlns:mc="http://schemas.openxmlformats.org/markup-compatibility/2006">
          <mc:Choice Requires="x14">
            <control shapeId="1131" r:id="rId134" name="">
              <controlPr defaultSize="0" locked="1" autoFill="0" autoLine="0" autoPict="0" print="true" altText="Check Box 885">
                <anchor moveWithCells="true" sizeWithCells="false">
                  <from>
                    <xdr:col>21</xdr:col>
                    <xdr:colOff>142920</xdr:colOff>
                    <xdr:row>25</xdr:row>
                    <xdr:rowOff>171360</xdr:rowOff>
                  </from>
                  <to>
                    <xdr:col>22</xdr:col>
                    <xdr:colOff>-314280</xdr:colOff>
                    <xdr:row>27</xdr:row>
                    <xdr:rowOff>28440</xdr:rowOff>
                  </to>
                </anchor>
              </controlPr>
            </control>
          </mc:Choice>
        </mc:AlternateContent>
        <mc:AlternateContent xmlns:mc="http://schemas.openxmlformats.org/markup-compatibility/2006">
          <mc:Choice Requires="x14">
            <control shapeId="1132" r:id="rId135" name="">
              <controlPr defaultSize="0" locked="1" autoFill="0" autoLine="0" autoPict="0" print="true" altText="Check Box 886">
                <anchor moveWithCells="true" sizeWithCells="false">
                  <from>
                    <xdr:col>22</xdr:col>
                    <xdr:colOff>133200</xdr:colOff>
                    <xdr:row>25</xdr:row>
                    <xdr:rowOff>152280</xdr:rowOff>
                  </from>
                  <to>
                    <xdr:col>23</xdr:col>
                    <xdr:colOff>-311040</xdr:colOff>
                    <xdr:row>27</xdr:row>
                    <xdr:rowOff>19080</xdr:rowOff>
                  </to>
                </anchor>
              </controlPr>
            </control>
          </mc:Choice>
        </mc:AlternateContent>
        <mc:AlternateContent xmlns:mc="http://schemas.openxmlformats.org/markup-compatibility/2006">
          <mc:Choice Requires="x14">
            <control shapeId="1133" r:id="rId136" name="">
              <controlPr defaultSize="0" locked="1" autoFill="0" autoLine="0" autoPict="0" print="true" altText="Check Box 887">
                <anchor moveWithCells="true" sizeWithCells="false">
                  <from>
                    <xdr:col>21</xdr:col>
                    <xdr:colOff>142920</xdr:colOff>
                    <xdr:row>26</xdr:row>
                    <xdr:rowOff>171360</xdr:rowOff>
                  </from>
                  <to>
                    <xdr:col>22</xdr:col>
                    <xdr:colOff>-314280</xdr:colOff>
                    <xdr:row>28</xdr:row>
                    <xdr:rowOff>28440</xdr:rowOff>
                  </to>
                </anchor>
              </controlPr>
            </control>
          </mc:Choice>
        </mc:AlternateContent>
        <mc:AlternateContent xmlns:mc="http://schemas.openxmlformats.org/markup-compatibility/2006">
          <mc:Choice Requires="x14">
            <control shapeId="1134" r:id="rId137" name="">
              <controlPr defaultSize="0" locked="1" autoFill="0" autoLine="0" autoPict="0" print="true" altText="Check Box 888">
                <anchor moveWithCells="true" sizeWithCells="false">
                  <from>
                    <xdr:col>22</xdr:col>
                    <xdr:colOff>133200</xdr:colOff>
                    <xdr:row>26</xdr:row>
                    <xdr:rowOff>152280</xdr:rowOff>
                  </from>
                  <to>
                    <xdr:col>23</xdr:col>
                    <xdr:colOff>-311040</xdr:colOff>
                    <xdr:row>28</xdr:row>
                    <xdr:rowOff>19080</xdr:rowOff>
                  </to>
                </anchor>
              </controlPr>
            </control>
          </mc:Choice>
        </mc:AlternateContent>
        <mc:AlternateContent xmlns:mc="http://schemas.openxmlformats.org/markup-compatibility/2006">
          <mc:Choice Requires="x14">
            <control shapeId="1135" r:id="rId138" name="">
              <controlPr defaultSize="0" locked="1" autoFill="0" autoLine="0" autoPict="0" print="true" altText="Check Box 889">
                <anchor moveWithCells="true" sizeWithCells="false">
                  <from>
                    <xdr:col>21</xdr:col>
                    <xdr:colOff>142920</xdr:colOff>
                    <xdr:row>27</xdr:row>
                    <xdr:rowOff>171360</xdr:rowOff>
                  </from>
                  <to>
                    <xdr:col>22</xdr:col>
                    <xdr:colOff>-314280</xdr:colOff>
                    <xdr:row>29</xdr:row>
                    <xdr:rowOff>19080</xdr:rowOff>
                  </to>
                </anchor>
              </controlPr>
            </control>
          </mc:Choice>
        </mc:AlternateContent>
        <mc:AlternateContent xmlns:mc="http://schemas.openxmlformats.org/markup-compatibility/2006">
          <mc:Choice Requires="x14">
            <control shapeId="1136" r:id="rId139" name="">
              <controlPr defaultSize="0" locked="1" autoFill="0" autoLine="0" autoPict="0" print="true" altText="Check Box 890">
                <anchor moveWithCells="true" sizeWithCells="false">
                  <from>
                    <xdr:col>22</xdr:col>
                    <xdr:colOff>133200</xdr:colOff>
                    <xdr:row>27</xdr:row>
                    <xdr:rowOff>152280</xdr:rowOff>
                  </from>
                  <to>
                    <xdr:col>23</xdr:col>
                    <xdr:colOff>-311040</xdr:colOff>
                    <xdr:row>29</xdr:row>
                    <xdr:rowOff>19080</xdr:rowOff>
                  </to>
                </anchor>
              </controlPr>
            </control>
          </mc:Choice>
        </mc:AlternateContent>
        <mc:AlternateContent xmlns:mc="http://schemas.openxmlformats.org/markup-compatibility/2006">
          <mc:Choice Requires="x14">
            <control shapeId="1137" r:id="rId140" name="">
              <controlPr defaultSize="0" locked="1" autoFill="0" autoLine="0" autoPict="0" print="true" altText="Check Box 891">
                <anchor moveWithCells="true" sizeWithCells="false">
                  <from>
                    <xdr:col>21</xdr:col>
                    <xdr:colOff>142920</xdr:colOff>
                    <xdr:row>28</xdr:row>
                    <xdr:rowOff>171360</xdr:rowOff>
                  </from>
                  <to>
                    <xdr:col>22</xdr:col>
                    <xdr:colOff>-314280</xdr:colOff>
                    <xdr:row>30</xdr:row>
                    <xdr:rowOff>19080</xdr:rowOff>
                  </to>
                </anchor>
              </controlPr>
            </control>
          </mc:Choice>
        </mc:AlternateContent>
        <mc:AlternateContent xmlns:mc="http://schemas.openxmlformats.org/markup-compatibility/2006">
          <mc:Choice Requires="x14">
            <control shapeId="1138" r:id="rId141" name="">
              <controlPr defaultSize="0" locked="1" autoFill="0" autoLine="0" autoPict="0" print="true" altText="Check Box 892">
                <anchor moveWithCells="true" sizeWithCells="false">
                  <from>
                    <xdr:col>22</xdr:col>
                    <xdr:colOff>133200</xdr:colOff>
                    <xdr:row>28</xdr:row>
                    <xdr:rowOff>152280</xdr:rowOff>
                  </from>
                  <to>
                    <xdr:col>23</xdr:col>
                    <xdr:colOff>-311040</xdr:colOff>
                    <xdr:row>30</xdr:row>
                    <xdr:rowOff>19080</xdr:rowOff>
                  </to>
                </anchor>
              </controlPr>
            </control>
          </mc:Choice>
        </mc:AlternateContent>
        <mc:AlternateContent xmlns:mc="http://schemas.openxmlformats.org/markup-compatibility/2006">
          <mc:Choice Requires="x14">
            <control shapeId="1139" r:id="rId142" name="">
              <controlPr defaultSize="0" locked="1" autoFill="0" autoLine="0" autoPict="0" print="true" altText="Check Box 893">
                <anchor moveWithCells="true" sizeWithCells="false">
                  <from>
                    <xdr:col>21</xdr:col>
                    <xdr:colOff>142920</xdr:colOff>
                    <xdr:row>29</xdr:row>
                    <xdr:rowOff>171360</xdr:rowOff>
                  </from>
                  <to>
                    <xdr:col>22</xdr:col>
                    <xdr:colOff>-314280</xdr:colOff>
                    <xdr:row>31</xdr:row>
                    <xdr:rowOff>28440</xdr:rowOff>
                  </to>
                </anchor>
              </controlPr>
            </control>
          </mc:Choice>
        </mc:AlternateContent>
        <mc:AlternateContent xmlns:mc="http://schemas.openxmlformats.org/markup-compatibility/2006">
          <mc:Choice Requires="x14">
            <control shapeId="1140" r:id="rId143" name="">
              <controlPr defaultSize="0" locked="1" autoFill="0" autoLine="0" autoPict="0" print="true" altText="Check Box 894">
                <anchor moveWithCells="true" sizeWithCells="false">
                  <from>
                    <xdr:col>22</xdr:col>
                    <xdr:colOff>133200</xdr:colOff>
                    <xdr:row>29</xdr:row>
                    <xdr:rowOff>152280</xdr:rowOff>
                  </from>
                  <to>
                    <xdr:col>23</xdr:col>
                    <xdr:colOff>-311040</xdr:colOff>
                    <xdr:row>31</xdr:row>
                    <xdr:rowOff>19080</xdr:rowOff>
                  </to>
                </anchor>
              </controlPr>
            </control>
          </mc:Choice>
        </mc:AlternateContent>
        <mc:AlternateContent xmlns:mc="http://schemas.openxmlformats.org/markup-compatibility/2006">
          <mc:Choice Requires="x14">
            <control shapeId="1141" r:id="rId144" name="">
              <controlPr defaultSize="0" locked="1" autoFill="0" autoLine="0" autoPict="0" print="true" altText="Check Box 895">
                <anchor moveWithCells="true" sizeWithCells="false">
                  <from>
                    <xdr:col>21</xdr:col>
                    <xdr:colOff>142920</xdr:colOff>
                    <xdr:row>30</xdr:row>
                    <xdr:rowOff>171360</xdr:rowOff>
                  </from>
                  <to>
                    <xdr:col>22</xdr:col>
                    <xdr:colOff>-314280</xdr:colOff>
                    <xdr:row>32</xdr:row>
                    <xdr:rowOff>28440</xdr:rowOff>
                  </to>
                </anchor>
              </controlPr>
            </control>
          </mc:Choice>
        </mc:AlternateContent>
        <mc:AlternateContent xmlns:mc="http://schemas.openxmlformats.org/markup-compatibility/2006">
          <mc:Choice Requires="x14">
            <control shapeId="1142" r:id="rId145" name="">
              <controlPr defaultSize="0" locked="1" autoFill="0" autoLine="0" autoPict="0" print="true" altText="Check Box 896">
                <anchor moveWithCells="true" sizeWithCells="false">
                  <from>
                    <xdr:col>22</xdr:col>
                    <xdr:colOff>133200</xdr:colOff>
                    <xdr:row>30</xdr:row>
                    <xdr:rowOff>152280</xdr:rowOff>
                  </from>
                  <to>
                    <xdr:col>23</xdr:col>
                    <xdr:colOff>-311040</xdr:colOff>
                    <xdr:row>32</xdr:row>
                    <xdr:rowOff>19080</xdr:rowOff>
                  </to>
                </anchor>
              </controlPr>
            </control>
          </mc:Choice>
        </mc:AlternateContent>
        <mc:AlternateContent xmlns:mc="http://schemas.openxmlformats.org/markup-compatibility/2006">
          <mc:Choice Requires="x14">
            <control shapeId="1143" r:id="rId146" name="">
              <controlPr defaultSize="0" locked="1" autoFill="0" autoLine="0" autoPict="0" print="true" altText="Check Box 897">
                <anchor moveWithCells="true" sizeWithCells="false">
                  <from>
                    <xdr:col>21</xdr:col>
                    <xdr:colOff>142920</xdr:colOff>
                    <xdr:row>31</xdr:row>
                    <xdr:rowOff>171360</xdr:rowOff>
                  </from>
                  <to>
                    <xdr:col>22</xdr:col>
                    <xdr:colOff>-314280</xdr:colOff>
                    <xdr:row>33</xdr:row>
                    <xdr:rowOff>28440</xdr:rowOff>
                  </to>
                </anchor>
              </controlPr>
            </control>
          </mc:Choice>
        </mc:AlternateContent>
        <mc:AlternateContent xmlns:mc="http://schemas.openxmlformats.org/markup-compatibility/2006">
          <mc:Choice Requires="x14">
            <control shapeId="1144" r:id="rId147" name="">
              <controlPr defaultSize="0" locked="1" autoFill="0" autoLine="0" autoPict="0" print="true" altText="Check Box 898">
                <anchor moveWithCells="true" sizeWithCells="false">
                  <from>
                    <xdr:col>22</xdr:col>
                    <xdr:colOff>133200</xdr:colOff>
                    <xdr:row>31</xdr:row>
                    <xdr:rowOff>152280</xdr:rowOff>
                  </from>
                  <to>
                    <xdr:col>23</xdr:col>
                    <xdr:colOff>-311040</xdr:colOff>
                    <xdr:row>33</xdr:row>
                    <xdr:rowOff>19080</xdr:rowOff>
                  </to>
                </anchor>
              </controlPr>
            </control>
          </mc:Choice>
        </mc:AlternateContent>
        <mc:AlternateContent xmlns:mc="http://schemas.openxmlformats.org/markup-compatibility/2006">
          <mc:Choice Requires="x14">
            <control shapeId="1145" r:id="rId148" name="">
              <controlPr defaultSize="0" locked="1" autoFill="0" autoLine="0" autoPict="0" print="true" altText="Check Box 899">
                <anchor moveWithCells="true" sizeWithCells="false">
                  <from>
                    <xdr:col>21</xdr:col>
                    <xdr:colOff>142920</xdr:colOff>
                    <xdr:row>32</xdr:row>
                    <xdr:rowOff>171360</xdr:rowOff>
                  </from>
                  <to>
                    <xdr:col>22</xdr:col>
                    <xdr:colOff>-314280</xdr:colOff>
                    <xdr:row>34</xdr:row>
                    <xdr:rowOff>19080</xdr:rowOff>
                  </to>
                </anchor>
              </controlPr>
            </control>
          </mc:Choice>
        </mc:AlternateContent>
        <mc:AlternateContent xmlns:mc="http://schemas.openxmlformats.org/markup-compatibility/2006">
          <mc:Choice Requires="x14">
            <control shapeId="1146" r:id="rId149" name="">
              <controlPr defaultSize="0" locked="1" autoFill="0" autoLine="0" autoPict="0" print="true" altText="Check Box 900">
                <anchor moveWithCells="true" sizeWithCells="false">
                  <from>
                    <xdr:col>22</xdr:col>
                    <xdr:colOff>133200</xdr:colOff>
                    <xdr:row>32</xdr:row>
                    <xdr:rowOff>152280</xdr:rowOff>
                  </from>
                  <to>
                    <xdr:col>23</xdr:col>
                    <xdr:colOff>-311040</xdr:colOff>
                    <xdr:row>34</xdr:row>
                    <xdr:rowOff>19080</xdr:rowOff>
                  </to>
                </anchor>
              </controlPr>
            </control>
          </mc:Choice>
        </mc:AlternateContent>
        <mc:AlternateContent xmlns:mc="http://schemas.openxmlformats.org/markup-compatibility/2006">
          <mc:Choice Requires="x14">
            <control shapeId="1147" r:id="rId150" name="">
              <controlPr defaultSize="0" locked="1" autoFill="0" autoLine="0" autoPict="0" print="true" altText="Check Box 901">
                <anchor moveWithCells="true" sizeWithCells="false">
                  <from>
                    <xdr:col>21</xdr:col>
                    <xdr:colOff>142920</xdr:colOff>
                    <xdr:row>33</xdr:row>
                    <xdr:rowOff>171360</xdr:rowOff>
                  </from>
                  <to>
                    <xdr:col>22</xdr:col>
                    <xdr:colOff>-314280</xdr:colOff>
                    <xdr:row>35</xdr:row>
                    <xdr:rowOff>19080</xdr:rowOff>
                  </to>
                </anchor>
              </controlPr>
            </control>
          </mc:Choice>
        </mc:AlternateContent>
        <mc:AlternateContent xmlns:mc="http://schemas.openxmlformats.org/markup-compatibility/2006">
          <mc:Choice Requires="x14">
            <control shapeId="1148" r:id="rId151" name="">
              <controlPr defaultSize="0" locked="1" autoFill="0" autoLine="0" autoPict="0" print="true" altText="Check Box 902">
                <anchor moveWithCells="true" sizeWithCells="false">
                  <from>
                    <xdr:col>22</xdr:col>
                    <xdr:colOff>133200</xdr:colOff>
                    <xdr:row>33</xdr:row>
                    <xdr:rowOff>152280</xdr:rowOff>
                  </from>
                  <to>
                    <xdr:col>23</xdr:col>
                    <xdr:colOff>-311040</xdr:colOff>
                    <xdr:row>35</xdr:row>
                    <xdr:rowOff>19080</xdr:rowOff>
                  </to>
                </anchor>
              </controlPr>
            </control>
          </mc:Choice>
        </mc:AlternateContent>
        <mc:AlternateContent xmlns:mc="http://schemas.openxmlformats.org/markup-compatibility/2006">
          <mc:Choice Requires="x14">
            <control shapeId="1149" r:id="rId152" name="">
              <controlPr defaultSize="0" locked="1" autoFill="0" autoLine="0" autoPict="0" print="true" altText="Check Box 903">
                <anchor moveWithCells="true" sizeWithCells="false">
                  <from>
                    <xdr:col>21</xdr:col>
                    <xdr:colOff>142920</xdr:colOff>
                    <xdr:row>34</xdr:row>
                    <xdr:rowOff>171360</xdr:rowOff>
                  </from>
                  <to>
                    <xdr:col>22</xdr:col>
                    <xdr:colOff>-314280</xdr:colOff>
                    <xdr:row>36</xdr:row>
                    <xdr:rowOff>28440</xdr:rowOff>
                  </to>
                </anchor>
              </controlPr>
            </control>
          </mc:Choice>
        </mc:AlternateContent>
        <mc:AlternateContent xmlns:mc="http://schemas.openxmlformats.org/markup-compatibility/2006">
          <mc:Choice Requires="x14">
            <control shapeId="1150" r:id="rId153" name="">
              <controlPr defaultSize="0" locked="1" autoFill="0" autoLine="0" autoPict="0" print="true" altText="Check Box 904">
                <anchor moveWithCells="true" sizeWithCells="false">
                  <from>
                    <xdr:col>22</xdr:col>
                    <xdr:colOff>133200</xdr:colOff>
                    <xdr:row>34</xdr:row>
                    <xdr:rowOff>152280</xdr:rowOff>
                  </from>
                  <to>
                    <xdr:col>23</xdr:col>
                    <xdr:colOff>-311040</xdr:colOff>
                    <xdr:row>36</xdr:row>
                    <xdr:rowOff>19080</xdr:rowOff>
                  </to>
                </anchor>
              </controlPr>
            </control>
          </mc:Choice>
        </mc:AlternateContent>
        <mc:AlternateContent xmlns:mc="http://schemas.openxmlformats.org/markup-compatibility/2006">
          <mc:Choice Requires="x14">
            <control shapeId="1151" r:id="rId154" name="">
              <controlPr defaultSize="0" locked="1" autoFill="0" autoLine="0" autoPict="0" print="true" altText="Check Box 905">
                <anchor moveWithCells="true" sizeWithCells="false">
                  <from>
                    <xdr:col>21</xdr:col>
                    <xdr:colOff>142920</xdr:colOff>
                    <xdr:row>35</xdr:row>
                    <xdr:rowOff>171360</xdr:rowOff>
                  </from>
                  <to>
                    <xdr:col>22</xdr:col>
                    <xdr:colOff>-314280</xdr:colOff>
                    <xdr:row>37</xdr:row>
                    <xdr:rowOff>28440</xdr:rowOff>
                  </to>
                </anchor>
              </controlPr>
            </control>
          </mc:Choice>
        </mc:AlternateContent>
        <mc:AlternateContent xmlns:mc="http://schemas.openxmlformats.org/markup-compatibility/2006">
          <mc:Choice Requires="x14">
            <control shapeId="1152" r:id="rId155" name="">
              <controlPr defaultSize="0" locked="1" autoFill="0" autoLine="0" autoPict="0" print="true" altText="Check Box 906">
                <anchor moveWithCells="true" sizeWithCells="false">
                  <from>
                    <xdr:col>22</xdr:col>
                    <xdr:colOff>133200</xdr:colOff>
                    <xdr:row>35</xdr:row>
                    <xdr:rowOff>152280</xdr:rowOff>
                  </from>
                  <to>
                    <xdr:col>23</xdr:col>
                    <xdr:colOff>-311040</xdr:colOff>
                    <xdr:row>37</xdr:row>
                    <xdr:rowOff>19080</xdr:rowOff>
                  </to>
                </anchor>
              </controlPr>
            </control>
          </mc:Choice>
        </mc:AlternateContent>
        <mc:AlternateContent xmlns:mc="http://schemas.openxmlformats.org/markup-compatibility/2006">
          <mc:Choice Requires="x14">
            <control shapeId="1153" r:id="rId156" name="">
              <controlPr defaultSize="0" locked="1" autoFill="0" autoLine="0" autoPict="0" print="true" altText="Check Box 907">
                <anchor moveWithCells="true" sizeWithCells="false">
                  <from>
                    <xdr:col>21</xdr:col>
                    <xdr:colOff>142920</xdr:colOff>
                    <xdr:row>36</xdr:row>
                    <xdr:rowOff>171360</xdr:rowOff>
                  </from>
                  <to>
                    <xdr:col>22</xdr:col>
                    <xdr:colOff>-314280</xdr:colOff>
                    <xdr:row>38</xdr:row>
                    <xdr:rowOff>28440</xdr:rowOff>
                  </to>
                </anchor>
              </controlPr>
            </control>
          </mc:Choice>
        </mc:AlternateContent>
        <mc:AlternateContent xmlns:mc="http://schemas.openxmlformats.org/markup-compatibility/2006">
          <mc:Choice Requires="x14">
            <control shapeId="1154" r:id="rId157" name="">
              <controlPr defaultSize="0" locked="1" autoFill="0" autoLine="0" autoPict="0" print="true" altText="Check Box 908">
                <anchor moveWithCells="true" sizeWithCells="false">
                  <from>
                    <xdr:col>22</xdr:col>
                    <xdr:colOff>133200</xdr:colOff>
                    <xdr:row>36</xdr:row>
                    <xdr:rowOff>152280</xdr:rowOff>
                  </from>
                  <to>
                    <xdr:col>23</xdr:col>
                    <xdr:colOff>-311040</xdr:colOff>
                    <xdr:row>38</xdr:row>
                    <xdr:rowOff>19080</xdr:rowOff>
                  </to>
                </anchor>
              </controlPr>
            </control>
          </mc:Choice>
        </mc:AlternateContent>
        <mc:AlternateContent xmlns:mc="http://schemas.openxmlformats.org/markup-compatibility/2006">
          <mc:Choice Requires="x14">
            <control shapeId="1155" r:id="rId158" name="">
              <controlPr defaultSize="0" locked="1" autoFill="0" autoLine="0" autoPict="0" print="true" altText="Check Box 909">
                <anchor moveWithCells="true" sizeWithCells="false">
                  <from>
                    <xdr:col>21</xdr:col>
                    <xdr:colOff>142920</xdr:colOff>
                    <xdr:row>37</xdr:row>
                    <xdr:rowOff>171360</xdr:rowOff>
                  </from>
                  <to>
                    <xdr:col>22</xdr:col>
                    <xdr:colOff>-314280</xdr:colOff>
                    <xdr:row>39</xdr:row>
                    <xdr:rowOff>19080</xdr:rowOff>
                  </to>
                </anchor>
              </controlPr>
            </control>
          </mc:Choice>
        </mc:AlternateContent>
        <mc:AlternateContent xmlns:mc="http://schemas.openxmlformats.org/markup-compatibility/2006">
          <mc:Choice Requires="x14">
            <control shapeId="1156" r:id="rId159" name="">
              <controlPr defaultSize="0" locked="1" autoFill="0" autoLine="0" autoPict="0" print="true" altText="Check Box 910">
                <anchor moveWithCells="true" sizeWithCells="false">
                  <from>
                    <xdr:col>22</xdr:col>
                    <xdr:colOff>133200</xdr:colOff>
                    <xdr:row>37</xdr:row>
                    <xdr:rowOff>152280</xdr:rowOff>
                  </from>
                  <to>
                    <xdr:col>23</xdr:col>
                    <xdr:colOff>-311040</xdr:colOff>
                    <xdr:row>39</xdr:row>
                    <xdr:rowOff>19080</xdr:rowOff>
                  </to>
                </anchor>
              </controlPr>
            </control>
          </mc:Choice>
        </mc:AlternateContent>
        <mc:AlternateContent xmlns:mc="http://schemas.openxmlformats.org/markup-compatibility/2006">
          <mc:Choice Requires="x14">
            <control shapeId="1157" r:id="rId160" name="">
              <controlPr defaultSize="0" locked="1" autoFill="0" autoLine="0" autoPict="0" print="true" altText="Check Box 911">
                <anchor moveWithCells="true" sizeWithCells="false">
                  <from>
                    <xdr:col>21</xdr:col>
                    <xdr:colOff>142920</xdr:colOff>
                    <xdr:row>38</xdr:row>
                    <xdr:rowOff>171360</xdr:rowOff>
                  </from>
                  <to>
                    <xdr:col>22</xdr:col>
                    <xdr:colOff>-314280</xdr:colOff>
                    <xdr:row>40</xdr:row>
                    <xdr:rowOff>19080</xdr:rowOff>
                  </to>
                </anchor>
              </controlPr>
            </control>
          </mc:Choice>
        </mc:AlternateContent>
        <mc:AlternateContent xmlns:mc="http://schemas.openxmlformats.org/markup-compatibility/2006">
          <mc:Choice Requires="x14">
            <control shapeId="1158" r:id="rId161" name="">
              <controlPr defaultSize="0" locked="1" autoFill="0" autoLine="0" autoPict="0" print="true" altText="Check Box 912">
                <anchor moveWithCells="true" sizeWithCells="false">
                  <from>
                    <xdr:col>22</xdr:col>
                    <xdr:colOff>133200</xdr:colOff>
                    <xdr:row>38</xdr:row>
                    <xdr:rowOff>152280</xdr:rowOff>
                  </from>
                  <to>
                    <xdr:col>23</xdr:col>
                    <xdr:colOff>-311040</xdr:colOff>
                    <xdr:row>40</xdr:row>
                    <xdr:rowOff>19080</xdr:rowOff>
                  </to>
                </anchor>
              </controlPr>
            </control>
          </mc:Choice>
        </mc:AlternateContent>
        <mc:AlternateContent xmlns:mc="http://schemas.openxmlformats.org/markup-compatibility/2006">
          <mc:Choice Requires="x14">
            <control shapeId="1159" r:id="rId162" name="">
              <controlPr defaultSize="0" locked="1" autoFill="0" autoLine="0" autoPict="0" print="true" altText="Check Box 913">
                <anchor moveWithCells="true" sizeWithCells="false">
                  <from>
                    <xdr:col>21</xdr:col>
                    <xdr:colOff>142920</xdr:colOff>
                    <xdr:row>39</xdr:row>
                    <xdr:rowOff>171360</xdr:rowOff>
                  </from>
                  <to>
                    <xdr:col>22</xdr:col>
                    <xdr:colOff>-314280</xdr:colOff>
                    <xdr:row>41</xdr:row>
                    <xdr:rowOff>19080</xdr:rowOff>
                  </to>
                </anchor>
              </controlPr>
            </control>
          </mc:Choice>
        </mc:AlternateContent>
        <mc:AlternateContent xmlns:mc="http://schemas.openxmlformats.org/markup-compatibility/2006">
          <mc:Choice Requires="x14">
            <control shapeId="1160" r:id="rId163" name="">
              <controlPr defaultSize="0" locked="1" autoFill="0" autoLine="0" autoPict="0" print="true" altText="Check Box 914">
                <anchor moveWithCells="true" sizeWithCells="false">
                  <from>
                    <xdr:col>22</xdr:col>
                    <xdr:colOff>133200</xdr:colOff>
                    <xdr:row>39</xdr:row>
                    <xdr:rowOff>152280</xdr:rowOff>
                  </from>
                  <to>
                    <xdr:col>23</xdr:col>
                    <xdr:colOff>-311040</xdr:colOff>
                    <xdr:row>41</xdr:row>
                    <xdr:rowOff>19080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AA69"/>
  <sheetViews>
    <sheetView showFormulas="false" showGridLines="true" showRowColHeaders="true" showZeros="true" rightToLeft="false" tabSelected="false" showOutlineSymbols="true" defaultGridColor="true" view="normal" topLeftCell="K16" colorId="64" zoomScale="85" zoomScaleNormal="85" zoomScalePageLayoutView="100" workbookViewId="0">
      <selection pane="topLeft" activeCell="K16" activeCellId="0" sqref="K16"/>
    </sheetView>
  </sheetViews>
  <sheetFormatPr defaultColWidth="8.5390625" defaultRowHeight="15" zeroHeight="false" outlineLevelRow="0" outlineLevelCol="0"/>
  <cols>
    <col collapsed="false" customWidth="true" hidden="false" outlineLevel="0" max="2" min="2" style="0" width="4.57"/>
    <col collapsed="false" customWidth="true" hidden="false" outlineLevel="0" max="4" min="3" style="0" width="17.57"/>
    <col collapsed="false" customWidth="true" hidden="false" outlineLevel="0" max="5" min="5" style="0" width="9.57"/>
    <col collapsed="false" customWidth="true" hidden="false" outlineLevel="0" max="7" min="6" style="0" width="10.57"/>
    <col collapsed="false" customWidth="true" hidden="false" outlineLevel="0" max="14" min="8" style="0" width="5.57"/>
    <col collapsed="false" customWidth="true" hidden="false" outlineLevel="0" max="15" min="15" style="0" width="6.43"/>
    <col collapsed="false" customWidth="true" hidden="false" outlineLevel="0" max="24" min="16" style="0" width="5.57"/>
    <col collapsed="false" customWidth="true" hidden="false" outlineLevel="0" max="26" min="26" style="0" width="10.28"/>
  </cols>
  <sheetData>
    <row r="2" customFormat="false" ht="30" hidden="false" customHeight="true" outlineLevel="0" collapsed="false">
      <c r="B2" s="144" t="s">
        <v>57</v>
      </c>
      <c r="C2" s="145"/>
      <c r="D2" s="145"/>
      <c r="E2" s="145"/>
      <c r="F2" s="1"/>
      <c r="G2" s="1"/>
      <c r="H2" s="1"/>
      <c r="I2" s="1"/>
      <c r="J2" s="1"/>
      <c r="K2" s="1"/>
      <c r="L2" s="1"/>
      <c r="M2" s="1"/>
      <c r="N2" s="1"/>
      <c r="O2" s="1"/>
      <c r="P2" s="1"/>
      <c r="Q2" s="1"/>
      <c r="R2" s="1"/>
      <c r="S2" s="1"/>
      <c r="T2" s="1"/>
      <c r="U2" s="1"/>
      <c r="V2" s="1"/>
      <c r="W2" s="146" t="s">
        <v>58</v>
      </c>
      <c r="X2" s="146"/>
      <c r="Y2" s="146"/>
    </row>
    <row r="3" customFormat="false" ht="27" hidden="false" customHeight="true" outlineLevel="0" collapsed="false">
      <c r="B3" s="147"/>
      <c r="C3" s="145"/>
      <c r="D3" s="145"/>
      <c r="E3" s="145"/>
      <c r="F3" s="1"/>
      <c r="G3" s="1"/>
      <c r="H3" s="1"/>
      <c r="I3" s="1"/>
      <c r="J3" s="1"/>
      <c r="K3" s="1"/>
      <c r="L3" s="1"/>
      <c r="M3" s="1"/>
      <c r="N3" s="1"/>
      <c r="O3" s="1"/>
      <c r="P3" s="1"/>
      <c r="Q3" s="1"/>
      <c r="R3" s="1"/>
      <c r="S3" s="1"/>
      <c r="T3" s="1"/>
      <c r="U3" s="1"/>
      <c r="V3" s="1"/>
      <c r="W3" s="146"/>
      <c r="X3" s="146"/>
      <c r="Y3" s="146"/>
    </row>
    <row r="4" customFormat="false" ht="18.75" hidden="false" customHeight="false" outlineLevel="0" collapsed="false">
      <c r="B4" s="1"/>
      <c r="C4" s="148" t="s">
        <v>59</v>
      </c>
      <c r="D4" s="149" t="s">
        <v>1</v>
      </c>
      <c r="E4" s="149"/>
      <c r="F4" s="150" t="str">
        <f aca="false">IF(ISBLANK(2965D!$F$2), "", 2965D!$F$2)</f>
        <v>ZE633</v>
      </c>
      <c r="G4" s="151"/>
      <c r="H4" s="149" t="s">
        <v>3</v>
      </c>
      <c r="I4" s="149"/>
      <c r="J4" s="149"/>
      <c r="K4" s="149"/>
      <c r="L4" s="150" t="str">
        <f aca="false">IF(ISBLANK(2965D!$L$2), "", 2965D!$L$2)</f>
        <v>XX</v>
      </c>
      <c r="M4" s="152"/>
      <c r="N4" s="151"/>
      <c r="O4" s="149" t="s">
        <v>4</v>
      </c>
      <c r="P4" s="149"/>
      <c r="Q4" s="153" t="n">
        <f aca="false">IF(ISBLANK(2965D!$O$2),"",2965D!$O$2)</f>
        <v>46067</v>
      </c>
      <c r="R4" s="153"/>
      <c r="S4" s="153"/>
      <c r="T4" s="154"/>
      <c r="U4" s="155"/>
      <c r="V4" s="155"/>
      <c r="W4" s="155"/>
      <c r="X4" s="156"/>
      <c r="Y4" s="156"/>
    </row>
    <row r="5" customFormat="false" ht="15.75" hidden="false" customHeight="false" outlineLevel="0" collapsed="false">
      <c r="B5" s="1"/>
      <c r="C5" s="1"/>
      <c r="D5" s="1"/>
      <c r="E5" s="1"/>
      <c r="F5" s="1"/>
      <c r="G5" s="1"/>
      <c r="H5" s="1"/>
      <c r="I5" s="1"/>
      <c r="J5" s="1"/>
      <c r="K5" s="1"/>
      <c r="L5" s="1"/>
      <c r="M5" s="1"/>
      <c r="N5" s="1"/>
      <c r="O5" s="1"/>
      <c r="P5" s="1"/>
      <c r="Q5" s="1"/>
      <c r="R5" s="1"/>
      <c r="S5" s="1"/>
      <c r="T5" s="1"/>
      <c r="U5" s="1"/>
      <c r="V5" s="1"/>
      <c r="W5" s="1"/>
      <c r="X5" s="1"/>
      <c r="Y5" s="1"/>
    </row>
    <row r="6" customFormat="false" ht="15" hidden="false" customHeight="true" outlineLevel="0" collapsed="false">
      <c r="B6" s="157" t="s">
        <v>60</v>
      </c>
      <c r="C6" s="157" t="s">
        <v>61</v>
      </c>
      <c r="D6" s="157" t="s">
        <v>62</v>
      </c>
      <c r="E6" s="158" t="s">
        <v>25</v>
      </c>
      <c r="F6" s="159" t="s">
        <v>63</v>
      </c>
      <c r="G6" s="157" t="s">
        <v>27</v>
      </c>
      <c r="H6" s="160" t="s">
        <v>10</v>
      </c>
      <c r="I6" s="160"/>
      <c r="J6" s="160"/>
      <c r="K6" s="161" t="s">
        <v>11</v>
      </c>
      <c r="L6" s="161"/>
      <c r="M6" s="162" t="s">
        <v>12</v>
      </c>
      <c r="N6" s="162"/>
      <c r="O6" s="163" t="s">
        <v>64</v>
      </c>
      <c r="P6" s="164" t="s">
        <v>65</v>
      </c>
      <c r="Q6" s="164"/>
      <c r="R6" s="164"/>
      <c r="S6" s="164"/>
      <c r="T6" s="164"/>
      <c r="U6" s="164"/>
      <c r="V6" s="164"/>
      <c r="W6" s="157" t="s">
        <v>66</v>
      </c>
      <c r="X6" s="158" t="s">
        <v>16</v>
      </c>
      <c r="Y6" s="165" t="s">
        <v>67</v>
      </c>
    </row>
    <row r="7" customFormat="false" ht="15" hidden="false" customHeight="false" outlineLevel="0" collapsed="false">
      <c r="B7" s="157"/>
      <c r="C7" s="157"/>
      <c r="D7" s="157"/>
      <c r="E7" s="158"/>
      <c r="F7" s="159"/>
      <c r="G7" s="157"/>
      <c r="H7" s="166" t="s">
        <v>68</v>
      </c>
      <c r="I7" s="167" t="s">
        <v>69</v>
      </c>
      <c r="J7" s="168" t="s">
        <v>70</v>
      </c>
      <c r="K7" s="169" t="s">
        <v>21</v>
      </c>
      <c r="L7" s="170" t="s">
        <v>22</v>
      </c>
      <c r="M7" s="162"/>
      <c r="N7" s="162"/>
      <c r="O7" s="163"/>
      <c r="P7" s="164"/>
      <c r="Q7" s="164"/>
      <c r="R7" s="164"/>
      <c r="S7" s="164"/>
      <c r="T7" s="164"/>
      <c r="U7" s="164"/>
      <c r="V7" s="164"/>
      <c r="W7" s="157"/>
      <c r="X7" s="157"/>
      <c r="Y7" s="165"/>
    </row>
    <row r="8" customFormat="false" ht="15.75" hidden="false" customHeight="false" outlineLevel="0" collapsed="false">
      <c r="B8" s="157"/>
      <c r="C8" s="157"/>
      <c r="D8" s="157"/>
      <c r="E8" s="158"/>
      <c r="F8" s="159"/>
      <c r="G8" s="157"/>
      <c r="H8" s="171" t="s">
        <v>28</v>
      </c>
      <c r="I8" s="172" t="s">
        <v>29</v>
      </c>
      <c r="J8" s="173" t="s">
        <v>30</v>
      </c>
      <c r="K8" s="174" t="s">
        <v>31</v>
      </c>
      <c r="L8" s="175" t="s">
        <v>32</v>
      </c>
      <c r="M8" s="174" t="s">
        <v>33</v>
      </c>
      <c r="N8" s="173" t="s">
        <v>34</v>
      </c>
      <c r="O8" s="163"/>
      <c r="P8" s="171" t="n">
        <v>1</v>
      </c>
      <c r="Q8" s="172" t="n">
        <v>2</v>
      </c>
      <c r="R8" s="172" t="n">
        <v>3</v>
      </c>
      <c r="S8" s="172" t="n">
        <v>4</v>
      </c>
      <c r="T8" s="172" t="n">
        <v>5</v>
      </c>
      <c r="U8" s="172" t="n">
        <v>6</v>
      </c>
      <c r="V8" s="173" t="n">
        <v>7</v>
      </c>
      <c r="W8" s="157"/>
      <c r="X8" s="157"/>
      <c r="Y8" s="165"/>
    </row>
    <row r="9" customFormat="false" ht="21.75" hidden="false" customHeight="true" outlineLevel="0" collapsed="false">
      <c r="B9" s="176" t="n">
        <v>1</v>
      </c>
      <c r="C9" s="177" t="str">
        <f aca="false">2965D!B10</f>
        <v>Jennings</v>
      </c>
      <c r="D9" s="177" t="str">
        <f aca="false">2965D!C10</f>
        <v>Smith</v>
      </c>
      <c r="E9" s="178" t="str">
        <f aca="false">2965D!D10</f>
        <v>GIF</v>
      </c>
      <c r="F9" s="179" t="n">
        <f aca="false">2965D!E10</f>
        <v>0.458333333333333</v>
      </c>
      <c r="G9" s="179" t="n">
        <f aca="false">2965D!F10</f>
        <v>0.463888888888889</v>
      </c>
      <c r="H9" s="180" t="n">
        <f aca="false">IF(2965D!G10="","",2965D!G10)</f>
        <v>0.00555555555555559</v>
      </c>
      <c r="I9" s="181" t="str">
        <f aca="false">IF(2965D!H10="","",2965D!H10)</f>
        <v/>
      </c>
      <c r="J9" s="182" t="str">
        <f aca="false">IF(2965D!I10="","",2965D!I10)</f>
        <v/>
      </c>
      <c r="K9" s="180" t="str">
        <f aca="false">IF(2965D!J10="","",2965D!J10)</f>
        <v/>
      </c>
      <c r="L9" s="182" t="str">
        <f aca="false">IF(2965D!K10="","",2965D!K10)</f>
        <v/>
      </c>
      <c r="M9" s="183" t="str">
        <f aca="false">IF(FORMATTED!K2=TRUE(),"ü","")</f>
        <v/>
      </c>
      <c r="N9" s="184" t="str">
        <f aca="false">IF(FORMATTED!L2=TRUE(),"ü","")</f>
        <v/>
      </c>
      <c r="O9" s="185" t="str">
        <f aca="false">IF(2965D!N10="","",2965D!N10)</f>
        <v/>
      </c>
      <c r="P9" s="180" t="str">
        <f aca="false">IF(2965D!P10="","",2965D!P10)</f>
        <v/>
      </c>
      <c r="Q9" s="181"/>
      <c r="R9" s="181"/>
      <c r="S9" s="181"/>
      <c r="T9" s="181"/>
      <c r="U9" s="181" t="n">
        <f aca="false">IF(2965D!Q10="","",2965D!Q10)</f>
        <v>0.00555555555555556</v>
      </c>
      <c r="V9" s="186" t="str">
        <f aca="false">IF(2965D!R10="","",2965D!R10)</f>
        <v/>
      </c>
      <c r="W9" s="187"/>
      <c r="X9" s="188" t="str">
        <f aca="false">IF(FORMATTED!H2=TRUE(),"ü","")</f>
        <v/>
      </c>
      <c r="Y9" s="189" t="str">
        <f aca="false">IFERROR(VLOOKUP(2965D!T10,Pilots[[SN Last 4]:[Pilot]],2,FALSE()),"")</f>
        <v/>
      </c>
      <c r="Z9" s="190" t="str">
        <f aca="false">IF(2965D!$G$5=B9,"Max","")</f>
        <v/>
      </c>
    </row>
    <row r="10" customFormat="false" ht="21.75" hidden="false" customHeight="true" outlineLevel="0" collapsed="false">
      <c r="B10" s="191" t="n">
        <v>2</v>
      </c>
      <c r="C10" s="192" t="str">
        <f aca="false">2965D!B11</f>
        <v>Jennings</v>
      </c>
      <c r="D10" s="192" t="str">
        <f aca="false">2965D!C11</f>
        <v>Smith</v>
      </c>
      <c r="E10" s="193" t="str">
        <f aca="false">2965D!D11</f>
        <v>GIF</v>
      </c>
      <c r="F10" s="194" t="n">
        <f aca="false">2965D!E11</f>
        <v>0.469444444444444</v>
      </c>
      <c r="G10" s="194" t="n">
        <f aca="false">2965D!F11</f>
        <v>0.472916666666667</v>
      </c>
      <c r="H10" s="195" t="n">
        <f aca="false">IF(2965D!G11="","",2965D!G11)</f>
        <v>0.00347222222222221</v>
      </c>
      <c r="I10" s="196" t="str">
        <f aca="false">IF(2965D!H11="","",2965D!H11)</f>
        <v/>
      </c>
      <c r="J10" s="197" t="str">
        <f aca="false">IF(2965D!I11="","",2965D!I11)</f>
        <v/>
      </c>
      <c r="K10" s="195" t="str">
        <f aca="false">IF(2965D!J11="","",2965D!J11)</f>
        <v/>
      </c>
      <c r="L10" s="197" t="str">
        <f aca="false">IF(2965D!K11="","",2965D!K11)</f>
        <v/>
      </c>
      <c r="M10" s="198" t="str">
        <f aca="false">IF(FORMATTED!K3=TRUE(),"ü","")</f>
        <v/>
      </c>
      <c r="N10" s="199" t="str">
        <f aca="false">IF(FORMATTED!L3=TRUE(),"ü","")</f>
        <v/>
      </c>
      <c r="O10" s="200" t="str">
        <f aca="false">IF(2965D!N11="","",2965D!N11)</f>
        <v/>
      </c>
      <c r="P10" s="195" t="n">
        <f aca="false">IF(2965D!P11="","",2965D!P11)</f>
        <v>0.00347222222222221</v>
      </c>
      <c r="Q10" s="196"/>
      <c r="R10" s="196"/>
      <c r="S10" s="196"/>
      <c r="T10" s="196"/>
      <c r="U10" s="196" t="str">
        <f aca="false">IF(2965D!Q11="","",2965D!Q11)</f>
        <v/>
      </c>
      <c r="V10" s="201" t="str">
        <f aca="false">IF(2965D!R11="","",2965D!R11)</f>
        <v/>
      </c>
      <c r="W10" s="202"/>
      <c r="X10" s="203" t="str">
        <f aca="false">IF(FORMATTED!H3=TRUE(),"ü","")</f>
        <v/>
      </c>
      <c r="Y10" s="189" t="str">
        <f aca="false">IFERROR(VLOOKUP(2965D!T11,Pilots[[SN Last 4]:[Pilot]],2,FALSE()),"")</f>
        <v/>
      </c>
      <c r="Z10" s="190" t="str">
        <f aca="false">IF(2965D!$G$5=B10,"Max",IF(2965D!$G$5=B9,"Launches",""))</f>
        <v/>
      </c>
    </row>
    <row r="11" customFormat="false" ht="21.75" hidden="false" customHeight="true" outlineLevel="0" collapsed="false">
      <c r="B11" s="191" t="n">
        <v>3</v>
      </c>
      <c r="C11" s="192" t="str">
        <f aca="false">2965D!B12</f>
        <v>Jennings</v>
      </c>
      <c r="D11" s="192" t="str">
        <f aca="false">2965D!C12</f>
        <v>Derp</v>
      </c>
      <c r="E11" s="193" t="str">
        <f aca="false">2965D!D12</f>
        <v>GIF</v>
      </c>
      <c r="F11" s="194" t="n">
        <f aca="false">2965D!E12</f>
        <v>0.477777777777778</v>
      </c>
      <c r="G11" s="194" t="n">
        <f aca="false">2965D!F12</f>
        <v>0.48125</v>
      </c>
      <c r="H11" s="195" t="n">
        <f aca="false">IF(2965D!G12="","",2965D!G12)</f>
        <v>0.00347222222222221</v>
      </c>
      <c r="I11" s="196" t="str">
        <f aca="false">IF(2965D!H12="","",2965D!H12)</f>
        <v/>
      </c>
      <c r="J11" s="197" t="str">
        <f aca="false">IF(2965D!I12="","",2965D!I12)</f>
        <v/>
      </c>
      <c r="K11" s="195" t="str">
        <f aca="false">IF(2965D!J12="","",2965D!J12)</f>
        <v/>
      </c>
      <c r="L11" s="197" t="str">
        <f aca="false">IF(2965D!K12="","",2965D!K12)</f>
        <v/>
      </c>
      <c r="M11" s="198" t="str">
        <f aca="false">IF(FORMATTED!K4=TRUE(),"ü","")</f>
        <v/>
      </c>
      <c r="N11" s="199" t="str">
        <f aca="false">IF(FORMATTED!L4=TRUE(),"ü","")</f>
        <v/>
      </c>
      <c r="O11" s="200" t="str">
        <f aca="false">IF(2965D!N12="","",2965D!N12)</f>
        <v/>
      </c>
      <c r="P11" s="195" t="n">
        <f aca="false">IF(2965D!P12="","",2965D!P12)</f>
        <v>0.00347222222222221</v>
      </c>
      <c r="Q11" s="196"/>
      <c r="R11" s="196"/>
      <c r="S11" s="196"/>
      <c r="T11" s="196"/>
      <c r="U11" s="196" t="str">
        <f aca="false">IF(2965D!Q12="","",2965D!Q12)</f>
        <v/>
      </c>
      <c r="V11" s="201" t="str">
        <f aca="false">IF(2965D!R12="","",2965D!R12)</f>
        <v/>
      </c>
      <c r="W11" s="202"/>
      <c r="X11" s="203" t="str">
        <f aca="false">IF(FORMATTED!H4=TRUE(),"ü","")</f>
        <v/>
      </c>
      <c r="Y11" s="189" t="str">
        <f aca="false">IFERROR(VLOOKUP(2965D!T12,Pilots[[SN Last 4]:[Pilot]],2,FALSE()),"")</f>
        <v/>
      </c>
      <c r="Z11" s="190" t="str">
        <f aca="false">IF(2965D!$G$5=B11,"Max",IF(2965D!$G$5=B10,"Launches",""))</f>
        <v/>
      </c>
      <c r="AA11" s="0" t="s">
        <v>71</v>
      </c>
    </row>
    <row r="12" customFormat="false" ht="21.75" hidden="false" customHeight="true" outlineLevel="0" collapsed="false">
      <c r="B12" s="191" t="n">
        <v>4</v>
      </c>
      <c r="C12" s="192" t="str">
        <f aca="false">2965D!B13</f>
        <v>Jennings</v>
      </c>
      <c r="D12" s="192" t="str">
        <f aca="false">2965D!C13</f>
        <v>Derp</v>
      </c>
      <c r="E12" s="193" t="str">
        <f aca="false">2965D!D13</f>
        <v>GIF</v>
      </c>
      <c r="F12" s="194" t="n">
        <f aca="false">2965D!E13</f>
        <v>0.486111111111111</v>
      </c>
      <c r="G12" s="194" t="n">
        <f aca="false">2965D!F13</f>
        <v>0.488888888888889</v>
      </c>
      <c r="H12" s="195" t="n">
        <f aca="false">IF(2965D!G13="","",2965D!G13)</f>
        <v>0.00277777777777777</v>
      </c>
      <c r="I12" s="196" t="str">
        <f aca="false">IF(2965D!H13="","",2965D!H13)</f>
        <v/>
      </c>
      <c r="J12" s="197" t="str">
        <f aca="false">IF(2965D!I13="","",2965D!I13)</f>
        <v/>
      </c>
      <c r="K12" s="195" t="str">
        <f aca="false">IF(2965D!J13="","",2965D!J13)</f>
        <v/>
      </c>
      <c r="L12" s="197" t="str">
        <f aca="false">IF(2965D!K13="","",2965D!K13)</f>
        <v/>
      </c>
      <c r="M12" s="198" t="str">
        <f aca="false">IF(FORMATTED!K5=TRUE(),"ü","")</f>
        <v/>
      </c>
      <c r="N12" s="199" t="str">
        <f aca="false">IF(FORMATTED!L5=TRUE(),"ü","")</f>
        <v/>
      </c>
      <c r="O12" s="200" t="str">
        <f aca="false">IF(2965D!N13="","",2965D!N13)</f>
        <v/>
      </c>
      <c r="P12" s="195" t="n">
        <f aca="false">IF(2965D!P13="","",2965D!P13)</f>
        <v>0.00277777777777777</v>
      </c>
      <c r="Q12" s="196"/>
      <c r="R12" s="196"/>
      <c r="S12" s="196"/>
      <c r="T12" s="196"/>
      <c r="U12" s="196" t="str">
        <f aca="false">IF(2965D!Q13="","",2965D!Q13)</f>
        <v/>
      </c>
      <c r="V12" s="201" t="str">
        <f aca="false">IF(2965D!R13="","",2965D!R13)</f>
        <v/>
      </c>
      <c r="W12" s="202"/>
      <c r="X12" s="203" t="str">
        <f aca="false">IF(FORMATTED!H5=TRUE(),"ü","")</f>
        <v/>
      </c>
      <c r="Y12" s="189" t="str">
        <f aca="false">IFERROR(VLOOKUP(2965D!T13,Pilots[[SN Last 4]:[Pilot]],2,FALSE()),"")</f>
        <v/>
      </c>
      <c r="Z12" s="190" t="str">
        <f aca="false">IF(2965D!$G$5=B12,"Max",IF(2965D!$G$5=B11,"Launches",""))</f>
        <v/>
      </c>
      <c r="AA12" s="0" t="s">
        <v>72</v>
      </c>
    </row>
    <row r="13" customFormat="false" ht="21.75" hidden="false" customHeight="true" outlineLevel="0" collapsed="false">
      <c r="B13" s="191" t="n">
        <v>5</v>
      </c>
      <c r="C13" s="192" t="str">
        <f aca="false">2965D!B14</f>
        <v>Jennings</v>
      </c>
      <c r="D13" s="192" t="str">
        <f aca="false">2965D!C14</f>
        <v>Bojangles</v>
      </c>
      <c r="E13" s="193" t="str">
        <f aca="false">2965D!D14</f>
        <v>GIF</v>
      </c>
      <c r="F13" s="194" t="n">
        <f aca="false">2965D!E14</f>
        <v>0.494444444444444</v>
      </c>
      <c r="G13" s="194" t="n">
        <f aca="false">2965D!F14</f>
        <v>0.498611111111111</v>
      </c>
      <c r="H13" s="195" t="n">
        <f aca="false">IF(2965D!G14="","",2965D!G14)</f>
        <v>0.00416666666666665</v>
      </c>
      <c r="I13" s="196" t="str">
        <f aca="false">IF(2965D!H14="","",2965D!H14)</f>
        <v/>
      </c>
      <c r="J13" s="197" t="str">
        <f aca="false">IF(2965D!I14="","",2965D!I14)</f>
        <v/>
      </c>
      <c r="K13" s="195" t="str">
        <f aca="false">IF(2965D!J14="","",2965D!J14)</f>
        <v/>
      </c>
      <c r="L13" s="197" t="str">
        <f aca="false">IF(2965D!K14="","",2965D!K14)</f>
        <v/>
      </c>
      <c r="M13" s="198" t="str">
        <f aca="false">IF(FORMATTED!K6=TRUE(),"ü","")</f>
        <v/>
      </c>
      <c r="N13" s="199" t="str">
        <f aca="false">IF(FORMATTED!L6=TRUE(),"ü","")</f>
        <v/>
      </c>
      <c r="O13" s="200" t="str">
        <f aca="false">IF(2965D!N14="","",2965D!N14)</f>
        <v/>
      </c>
      <c r="P13" s="195" t="str">
        <f aca="false">IF(2965D!P14="","",2965D!P14)</f>
        <v/>
      </c>
      <c r="Q13" s="196"/>
      <c r="R13" s="196"/>
      <c r="S13" s="196"/>
      <c r="T13" s="196"/>
      <c r="U13" s="196" t="str">
        <f aca="false">IF(2965D!Q14="","",2965D!Q14)</f>
        <v/>
      </c>
      <c r="V13" s="201" t="n">
        <f aca="false">IF(2965D!R14="","",2965D!R14)</f>
        <v>0.00416666666666667</v>
      </c>
      <c r="W13" s="202"/>
      <c r="X13" s="203" t="str">
        <f aca="false">IF(FORMATTED!H6=TRUE(),"ü","")</f>
        <v/>
      </c>
      <c r="Y13" s="189" t="str">
        <f aca="false">IFERROR(VLOOKUP(2965D!T14,Pilots[[SN Last 4]:[Pilot]],2,FALSE()),"")</f>
        <v/>
      </c>
      <c r="Z13" s="190" t="str">
        <f aca="false">IF(2965D!$G$5=B13,"Max",IF(2965D!$G$5=B12,"Launches",""))</f>
        <v/>
      </c>
      <c r="AA13" s="0" t="s">
        <v>73</v>
      </c>
    </row>
    <row r="14" customFormat="false" ht="21.75" hidden="false" customHeight="true" outlineLevel="0" collapsed="false">
      <c r="B14" s="191" t="n">
        <v>6</v>
      </c>
      <c r="C14" s="192" t="str">
        <f aca="false">2965D!B15</f>
        <v>Jennings</v>
      </c>
      <c r="D14" s="192" t="str">
        <f aca="false">2965D!C15</f>
        <v>Bojangles</v>
      </c>
      <c r="E14" s="193" t="str">
        <f aca="false">2965D!D15</f>
        <v>GIF</v>
      </c>
      <c r="F14" s="194" t="n">
        <f aca="false">2965D!E15</f>
        <v>0.503472222222222</v>
      </c>
      <c r="G14" s="194" t="n">
        <f aca="false">2965D!F15</f>
        <v>0.50625</v>
      </c>
      <c r="H14" s="195" t="n">
        <f aca="false">IF(2965D!G15="","",2965D!G15)</f>
        <v>0.00277777777777777</v>
      </c>
      <c r="I14" s="196" t="str">
        <f aca="false">IF(2965D!H15="","",2965D!H15)</f>
        <v/>
      </c>
      <c r="J14" s="197" t="str">
        <f aca="false">IF(2965D!I15="","",2965D!I15)</f>
        <v/>
      </c>
      <c r="K14" s="195" t="str">
        <f aca="false">IF(2965D!J15="","",2965D!J15)</f>
        <v/>
      </c>
      <c r="L14" s="197" t="str">
        <f aca="false">IF(2965D!K15="","",2965D!K15)</f>
        <v/>
      </c>
      <c r="M14" s="198" t="str">
        <f aca="false">IF(FORMATTED!K7=TRUE(),"ü","")</f>
        <v/>
      </c>
      <c r="N14" s="199" t="str">
        <f aca="false">IF(FORMATTED!L7=TRUE(),"ü","")</f>
        <v/>
      </c>
      <c r="O14" s="200" t="str">
        <f aca="false">IF(2965D!N15="","",2965D!N15)</f>
        <v/>
      </c>
      <c r="P14" s="195" t="n">
        <f aca="false">IF(2965D!P15="","",2965D!P15)</f>
        <v>0.00277777777777777</v>
      </c>
      <c r="Q14" s="196"/>
      <c r="R14" s="196"/>
      <c r="S14" s="196"/>
      <c r="T14" s="196"/>
      <c r="U14" s="196" t="str">
        <f aca="false">IF(2965D!Q15="","",2965D!Q15)</f>
        <v/>
      </c>
      <c r="V14" s="201" t="str">
        <f aca="false">IF(2965D!R15="","",2965D!R15)</f>
        <v/>
      </c>
      <c r="W14" s="202"/>
      <c r="X14" s="203" t="str">
        <f aca="false">IF(FORMATTED!H7=TRUE(),"ü","")</f>
        <v>ü</v>
      </c>
      <c r="Y14" s="189" t="str">
        <f aca="false">IFERROR(VLOOKUP(2965D!T15,Pilots[[SN Last 4]:[Pilot]],2,FALSE()),"")</f>
        <v/>
      </c>
      <c r="Z14" s="190" t="str">
        <f aca="false">IF(2965D!$G$5=B14,"Max",IF(2965D!$G$5=B13,"Launches",""))</f>
        <v/>
      </c>
      <c r="AA14" s="0" t="s">
        <v>74</v>
      </c>
    </row>
    <row r="15" customFormat="false" ht="21.75" hidden="false" customHeight="true" outlineLevel="0" collapsed="false">
      <c r="B15" s="191" t="n">
        <v>7</v>
      </c>
      <c r="C15" s="192" t="str">
        <f aca="false">2965D!B16</f>
        <v>Jennings</v>
      </c>
      <c r="D15" s="192" t="str">
        <f aca="false">2965D!C16</f>
        <v>Bloggs</v>
      </c>
      <c r="E15" s="193" t="str">
        <f aca="false">2965D!D16</f>
        <v>AGT</v>
      </c>
      <c r="F15" s="194" t="n">
        <f aca="false">2965D!E16</f>
        <v>0.626388888888889</v>
      </c>
      <c r="G15" s="194" t="n">
        <f aca="false">2965D!F16</f>
        <v>0.629166666666667</v>
      </c>
      <c r="H15" s="195" t="str">
        <f aca="false">IF(2965D!G16="","",2965D!G16)</f>
        <v/>
      </c>
      <c r="I15" s="196" t="str">
        <f aca="false">IF(2965D!H16="","",2965D!H16)</f>
        <v/>
      </c>
      <c r="J15" s="197" t="n">
        <f aca="false">IF(2965D!I16="","",2965D!I16)</f>
        <v>0.00277777777777777</v>
      </c>
      <c r="K15" s="195" t="str">
        <f aca="false">IF(2965D!J16="","",2965D!J16)</f>
        <v/>
      </c>
      <c r="L15" s="197" t="str">
        <f aca="false">IF(2965D!K16="","",2965D!K16)</f>
        <v/>
      </c>
      <c r="M15" s="198" t="str">
        <f aca="false">IF(FORMATTED!K8=TRUE(),"ü","")</f>
        <v/>
      </c>
      <c r="N15" s="199" t="str">
        <f aca="false">IF(FORMATTED!L8=TRUE(),"ü","")</f>
        <v/>
      </c>
      <c r="O15" s="200" t="str">
        <f aca="false">IF(2965D!N16="","",2965D!N16)</f>
        <v/>
      </c>
      <c r="P15" s="195" t="n">
        <f aca="false">IF(2965D!P16="","",2965D!P16)</f>
        <v>0.00277777777777777</v>
      </c>
      <c r="Q15" s="196"/>
      <c r="R15" s="196"/>
      <c r="S15" s="196"/>
      <c r="T15" s="196"/>
      <c r="U15" s="196" t="str">
        <f aca="false">IF(2965D!Q16="","",2965D!Q16)</f>
        <v/>
      </c>
      <c r="V15" s="201" t="str">
        <f aca="false">IF(2965D!R16="","",2965D!R16)</f>
        <v/>
      </c>
      <c r="W15" s="202"/>
      <c r="X15" s="203" t="str">
        <f aca="false">IF(FORMATTED!H8=TRUE(),"ü","")</f>
        <v/>
      </c>
      <c r="Y15" s="189" t="str">
        <f aca="false">IFERROR(VLOOKUP(2965D!T16,Pilots[[SN Last 4]:[Pilot]],2,FALSE()),"")</f>
        <v/>
      </c>
      <c r="Z15" s="190" t="str">
        <f aca="false">IF(2965D!$G$5=B15,"Max",IF(2965D!$G$5=B14,"Launches",""))</f>
        <v/>
      </c>
    </row>
    <row r="16" customFormat="false" ht="21.75" hidden="false" customHeight="true" outlineLevel="0" collapsed="false">
      <c r="B16" s="191" t="n">
        <v>8</v>
      </c>
      <c r="C16" s="192" t="str">
        <f aca="false">2965D!B17</f>
        <v>Jennings</v>
      </c>
      <c r="D16" s="192" t="str">
        <f aca="false">2965D!C17</f>
        <v>Bloggs</v>
      </c>
      <c r="E16" s="193" t="str">
        <f aca="false">2965D!D17</f>
        <v>AGT</v>
      </c>
      <c r="F16" s="194" t="n">
        <f aca="false">2965D!E17</f>
        <v>0.636111111111111</v>
      </c>
      <c r="G16" s="194" t="n">
        <f aca="false">2965D!F17</f>
        <v>0.639583333333333</v>
      </c>
      <c r="H16" s="195" t="str">
        <f aca="false">IF(2965D!G17="","",2965D!G17)</f>
        <v/>
      </c>
      <c r="I16" s="196" t="str">
        <f aca="false">IF(2965D!H17="","",2965D!H17)</f>
        <v/>
      </c>
      <c r="J16" s="197" t="n">
        <f aca="false">IF(2965D!I17="","",2965D!I17)</f>
        <v>0.00347222222222221</v>
      </c>
      <c r="K16" s="195" t="str">
        <f aca="false">IF(2965D!J17="","",2965D!J17)</f>
        <v/>
      </c>
      <c r="L16" s="197" t="str">
        <f aca="false">IF(2965D!K17="","",2965D!K17)</f>
        <v/>
      </c>
      <c r="M16" s="198" t="str">
        <f aca="false">IF(FORMATTED!K9=TRUE(),"ü","")</f>
        <v/>
      </c>
      <c r="N16" s="199" t="str">
        <f aca="false">IF(FORMATTED!L9=TRUE(),"ü","")</f>
        <v/>
      </c>
      <c r="O16" s="200" t="str">
        <f aca="false">IF(2965D!N17="","",2965D!N17)</f>
        <v/>
      </c>
      <c r="P16" s="195" t="n">
        <f aca="false">IF(2965D!P17="","",2965D!P17)</f>
        <v>0.00347222222222221</v>
      </c>
      <c r="Q16" s="196"/>
      <c r="R16" s="196"/>
      <c r="S16" s="196"/>
      <c r="T16" s="196"/>
      <c r="U16" s="196" t="str">
        <f aca="false">IF(2965D!Q17="","",2965D!Q17)</f>
        <v/>
      </c>
      <c r="V16" s="201" t="str">
        <f aca="false">IF(2965D!R17="","",2965D!R17)</f>
        <v/>
      </c>
      <c r="W16" s="202"/>
      <c r="X16" s="203" t="str">
        <f aca="false">IF(FORMATTED!H9=TRUE(),"ü","")</f>
        <v/>
      </c>
      <c r="Y16" s="189" t="str">
        <f aca="false">IFERROR(VLOOKUP(2965D!T17,Pilots[[SN Last 4]:[Pilot]],2,FALSE()),"")</f>
        <v/>
      </c>
      <c r="Z16" s="190" t="str">
        <f aca="false">IF(2965D!$G$5=B16,"Max",IF(2965D!$G$5=B15,"Launches",""))</f>
        <v/>
      </c>
    </row>
    <row r="17" customFormat="false" ht="21.75" hidden="false" customHeight="true" outlineLevel="0" collapsed="false">
      <c r="B17" s="191" t="n">
        <v>9</v>
      </c>
      <c r="C17" s="192" t="str">
        <f aca="false">2965D!B18</f>
        <v>Jennings</v>
      </c>
      <c r="D17" s="192" t="str">
        <f aca="false">2965D!C18</f>
        <v>Bloggs</v>
      </c>
      <c r="E17" s="193" t="str">
        <f aca="false">2965D!D18</f>
        <v>AGT</v>
      </c>
      <c r="F17" s="194" t="n">
        <f aca="false">2965D!E18</f>
        <v>0.645138888888889</v>
      </c>
      <c r="G17" s="194" t="n">
        <f aca="false">2965D!F18</f>
        <v>0.648611111111111</v>
      </c>
      <c r="H17" s="195" t="str">
        <f aca="false">IF(2965D!G18="","",2965D!G18)</f>
        <v/>
      </c>
      <c r="I17" s="196" t="str">
        <f aca="false">IF(2965D!H18="","",2965D!H18)</f>
        <v/>
      </c>
      <c r="J17" s="197" t="n">
        <f aca="false">IF(2965D!I18="","",2965D!I18)</f>
        <v>0.00347222222222221</v>
      </c>
      <c r="K17" s="195" t="str">
        <f aca="false">IF(2965D!J18="","",2965D!J18)</f>
        <v/>
      </c>
      <c r="L17" s="197" t="str">
        <f aca="false">IF(2965D!K18="","",2965D!K18)</f>
        <v/>
      </c>
      <c r="M17" s="198" t="str">
        <f aca="false">IF(FORMATTED!K10=TRUE(),"ü","")</f>
        <v/>
      </c>
      <c r="N17" s="199" t="str">
        <f aca="false">IF(FORMATTED!L10=TRUE(),"ü","")</f>
        <v/>
      </c>
      <c r="O17" s="200" t="str">
        <f aca="false">IF(2965D!N18="","",2965D!N18)</f>
        <v/>
      </c>
      <c r="P17" s="195" t="n">
        <f aca="false">IF(2965D!P18="","",2965D!P18)</f>
        <v>0.00347222222222221</v>
      </c>
      <c r="Q17" s="196"/>
      <c r="R17" s="196"/>
      <c r="S17" s="196"/>
      <c r="T17" s="196"/>
      <c r="U17" s="196" t="str">
        <f aca="false">IF(2965D!Q18="","",2965D!Q18)</f>
        <v/>
      </c>
      <c r="V17" s="201" t="str">
        <f aca="false">IF(2965D!R18="","",2965D!R18)</f>
        <v/>
      </c>
      <c r="W17" s="202"/>
      <c r="X17" s="203" t="str">
        <f aca="false">IF(FORMATTED!H10=TRUE(),"ü","")</f>
        <v/>
      </c>
      <c r="Y17" s="189" t="str">
        <f aca="false">IFERROR(VLOOKUP(2965D!T18,Pilots[[SN Last 4]:[Pilot]],2,FALSE()),"")</f>
        <v/>
      </c>
      <c r="Z17" s="190" t="str">
        <f aca="false">IF(2965D!$G$5=B17,"Max",IF(2965D!$G$5=B16,"Launches",""))</f>
        <v/>
      </c>
    </row>
    <row r="18" customFormat="false" ht="21.75" hidden="false" customHeight="true" outlineLevel="0" collapsed="false">
      <c r="B18" s="191" t="n">
        <v>10</v>
      </c>
      <c r="C18" s="192" t="str">
        <f aca="false">2965D!B19</f>
        <v>Jennings</v>
      </c>
      <c r="D18" s="192" t="str">
        <f aca="false">2965D!C19</f>
        <v>Bloggs</v>
      </c>
      <c r="E18" s="193" t="str">
        <f aca="false">2965D!D19</f>
        <v>AGT</v>
      </c>
      <c r="F18" s="194" t="n">
        <f aca="false">2965D!E19</f>
        <v>0.65625</v>
      </c>
      <c r="G18" s="194" t="n">
        <f aca="false">2965D!F19</f>
        <v>0.659722222222222</v>
      </c>
      <c r="H18" s="195" t="str">
        <f aca="false">IF(2965D!G19="","",2965D!G19)</f>
        <v/>
      </c>
      <c r="I18" s="196" t="str">
        <f aca="false">IF(2965D!H19="","",2965D!H19)</f>
        <v/>
      </c>
      <c r="J18" s="197" t="n">
        <f aca="false">IF(2965D!I19="","",2965D!I19)</f>
        <v>0.00347222222222221</v>
      </c>
      <c r="K18" s="195" t="str">
        <f aca="false">IF(2965D!J19="","",2965D!J19)</f>
        <v/>
      </c>
      <c r="L18" s="197" t="str">
        <f aca="false">IF(2965D!K19="","",2965D!K19)</f>
        <v/>
      </c>
      <c r="M18" s="198" t="str">
        <f aca="false">IF(FORMATTED!K11=TRUE(),"ü","")</f>
        <v/>
      </c>
      <c r="N18" s="199" t="str">
        <f aca="false">IF(FORMATTED!L11=TRUE(),"ü","")</f>
        <v/>
      </c>
      <c r="O18" s="200" t="str">
        <f aca="false">IF(2965D!N19="","",2965D!N19)</f>
        <v/>
      </c>
      <c r="P18" s="195" t="n">
        <f aca="false">IF(2965D!P19="","",2965D!P19)</f>
        <v>0.00347222222222221</v>
      </c>
      <c r="Q18" s="196"/>
      <c r="R18" s="196"/>
      <c r="S18" s="196"/>
      <c r="T18" s="196"/>
      <c r="U18" s="196" t="str">
        <f aca="false">IF(2965D!Q19="","",2965D!Q19)</f>
        <v/>
      </c>
      <c r="V18" s="201" t="str">
        <f aca="false">IF(2965D!R19="","",2965D!R19)</f>
        <v/>
      </c>
      <c r="W18" s="202"/>
      <c r="X18" s="203" t="str">
        <f aca="false">IF(FORMATTED!H11=TRUE(),"ü","")</f>
        <v/>
      </c>
      <c r="Y18" s="189" t="str">
        <f aca="false">IFERROR(VLOOKUP(2965D!T19,Pilots[[SN Last 4]:[Pilot]],2,FALSE()),"")</f>
        <v/>
      </c>
      <c r="Z18" s="190" t="str">
        <f aca="false">IF(2965D!$G$5=B18,"Max",IF(2965D!$G$5=B17,"Launches",""))</f>
        <v/>
      </c>
    </row>
    <row r="19" customFormat="false" ht="21.75" hidden="false" customHeight="true" outlineLevel="0" collapsed="false">
      <c r="B19" s="191" t="n">
        <v>11</v>
      </c>
      <c r="C19" s="192" t="str">
        <f aca="false">2965D!B20</f>
        <v>Abbott</v>
      </c>
      <c r="D19" s="192" t="str">
        <f aca="false">2965D!C20</f>
        <v>Bloggs</v>
      </c>
      <c r="E19" s="193" t="str">
        <f aca="false">2965D!D20</f>
        <v>SCT QGI</v>
      </c>
      <c r="F19" s="194" t="n">
        <f aca="false">2965D!E20</f>
        <v>0.66875</v>
      </c>
      <c r="G19" s="194" t="n">
        <f aca="false">2965D!F20</f>
        <v>0.672222222222222</v>
      </c>
      <c r="H19" s="195" t="str">
        <f aca="false">IF(2965D!G20="","",2965D!G20)</f>
        <v/>
      </c>
      <c r="I19" s="196" t="str">
        <f aca="false">IF(2965D!H20="","",2965D!H20)</f>
        <v/>
      </c>
      <c r="J19" s="197" t="str">
        <f aca="false">IF(2965D!I20="","",2965D!I20)</f>
        <v/>
      </c>
      <c r="K19" s="195" t="n">
        <f aca="false">IF(2965D!J20="","",2965D!J20)</f>
        <v>0.00347222222222232</v>
      </c>
      <c r="L19" s="197" t="str">
        <f aca="false">IF(2965D!K20="","",2965D!K20)</f>
        <v/>
      </c>
      <c r="M19" s="198" t="str">
        <f aca="false">IF(FORMATTED!K12=TRUE(),"ü","")</f>
        <v>ü</v>
      </c>
      <c r="N19" s="199" t="str">
        <f aca="false">IF(FORMATTED!L12=TRUE(),"ü","")</f>
        <v/>
      </c>
      <c r="O19" s="200" t="str">
        <f aca="false">IF(2965D!N20="","",2965D!N20)</f>
        <v/>
      </c>
      <c r="P19" s="195" t="n">
        <f aca="false">IF(2965D!P20="","",2965D!P20)</f>
        <v>0.00347222222222232</v>
      </c>
      <c r="Q19" s="196"/>
      <c r="R19" s="196"/>
      <c r="S19" s="196"/>
      <c r="T19" s="196"/>
      <c r="U19" s="196" t="str">
        <f aca="false">IF(2965D!Q20="","",2965D!Q20)</f>
        <v/>
      </c>
      <c r="V19" s="201" t="str">
        <f aca="false">IF(2965D!R20="","",2965D!R20)</f>
        <v/>
      </c>
      <c r="W19" s="202"/>
      <c r="X19" s="203" t="str">
        <f aca="false">IF(FORMATTED!H12=TRUE(),"ü","")</f>
        <v/>
      </c>
      <c r="Y19" s="189" t="str">
        <f aca="false">IFERROR(VLOOKUP(2965D!T20,Pilots[[SN Last 4]:[Pilot]],2,FALSE()),"")</f>
        <v/>
      </c>
      <c r="Z19" s="190" t="str">
        <f aca="false">IF(2965D!$G$5=B19,"Max",IF(2965D!$G$5=B18,"Launches",""))</f>
        <v/>
      </c>
    </row>
    <row r="20" customFormat="false" ht="21.75" hidden="false" customHeight="true" outlineLevel="0" collapsed="false">
      <c r="B20" s="191" t="n">
        <v>12</v>
      </c>
      <c r="C20" s="192" t="str">
        <f aca="false">2965D!B21</f>
        <v>Abbott</v>
      </c>
      <c r="D20" s="192" t="str">
        <f aca="false">2965D!C21</f>
        <v>Bloggs</v>
      </c>
      <c r="E20" s="193" t="str">
        <f aca="false">2965D!D21</f>
        <v>SCT U/T</v>
      </c>
      <c r="F20" s="194" t="n">
        <f aca="false">2965D!E21</f>
        <v>0.680555555555556</v>
      </c>
      <c r="G20" s="194" t="n">
        <f aca="false">2965D!F21</f>
        <v>0.684027777777778</v>
      </c>
      <c r="H20" s="195" t="str">
        <f aca="false">IF(2965D!G21="","",2965D!G21)</f>
        <v/>
      </c>
      <c r="I20" s="196" t="str">
        <f aca="false">IF(2965D!H21="","",2965D!H21)</f>
        <v/>
      </c>
      <c r="J20" s="197" t="str">
        <f aca="false">IF(2965D!I21="","",2965D!I21)</f>
        <v/>
      </c>
      <c r="K20" s="195" t="str">
        <f aca="false">IF(2965D!J21="","",2965D!J21)</f>
        <v/>
      </c>
      <c r="L20" s="197" t="n">
        <f aca="false">IF(2965D!K21="","",2965D!K21)</f>
        <v>0.00347222222222221</v>
      </c>
      <c r="M20" s="198" t="str">
        <f aca="false">IF(FORMATTED!K13=TRUE(),"ü","")</f>
        <v/>
      </c>
      <c r="N20" s="199" t="str">
        <f aca="false">IF(FORMATTED!L13=TRUE(),"ü","")</f>
        <v>ü</v>
      </c>
      <c r="O20" s="200" t="str">
        <f aca="false">IF(2965D!N21="","",2965D!N21)</f>
        <v/>
      </c>
      <c r="P20" s="195" t="n">
        <f aca="false">IF(2965D!P21="","",2965D!P21)</f>
        <v>0.00347222222222221</v>
      </c>
      <c r="Q20" s="196"/>
      <c r="R20" s="196"/>
      <c r="S20" s="196"/>
      <c r="T20" s="196"/>
      <c r="U20" s="196" t="str">
        <f aca="false">IF(2965D!Q21="","",2965D!Q21)</f>
        <v/>
      </c>
      <c r="V20" s="201" t="str">
        <f aca="false">IF(2965D!R21="","",2965D!R21)</f>
        <v/>
      </c>
      <c r="W20" s="202"/>
      <c r="X20" s="203" t="str">
        <f aca="false">IF(FORMATTED!H13=TRUE(),"ü","")</f>
        <v/>
      </c>
      <c r="Y20" s="189" t="str">
        <f aca="false">IFERROR(VLOOKUP(2965D!T21,Pilots[[SN Last 4]:[Pilot]],2,FALSE()),"")</f>
        <v/>
      </c>
      <c r="Z20" s="190" t="str">
        <f aca="false">IF(2965D!$G$5=B20,"Max",IF(2965D!$G$5=B19,"Launches",""))</f>
        <v/>
      </c>
    </row>
    <row r="21" customFormat="false" ht="21.75" hidden="false" customHeight="true" outlineLevel="0" collapsed="false">
      <c r="B21" s="191" t="n">
        <v>13</v>
      </c>
      <c r="C21" s="192" t="str">
        <f aca="false">2965D!B22</f>
        <v>Abbott</v>
      </c>
      <c r="D21" s="192" t="str">
        <f aca="false">2965D!C22</f>
        <v>Bloggs</v>
      </c>
      <c r="E21" s="193" t="str">
        <f aca="false">2965D!D22</f>
        <v>PAX</v>
      </c>
      <c r="F21" s="194" t="n">
        <f aca="false">2965D!E22</f>
        <v>0.690277777777778</v>
      </c>
      <c r="G21" s="194" t="n">
        <f aca="false">2965D!F22</f>
        <v>0.693055555555556</v>
      </c>
      <c r="H21" s="195" t="str">
        <f aca="false">IF(2965D!G22="","",2965D!G22)</f>
        <v/>
      </c>
      <c r="I21" s="196" t="str">
        <f aca="false">IF(2965D!H22="","",2965D!H22)</f>
        <v/>
      </c>
      <c r="J21" s="197" t="str">
        <f aca="false">IF(2965D!I22="","",2965D!I22)</f>
        <v/>
      </c>
      <c r="K21" s="195" t="str">
        <f aca="false">IF(2965D!J22="","",2965D!J22)</f>
        <v/>
      </c>
      <c r="L21" s="197" t="str">
        <f aca="false">IF(2965D!K22="","",2965D!K22)</f>
        <v/>
      </c>
      <c r="M21" s="198" t="str">
        <f aca="false">IF(FORMATTED!K14=TRUE(),"ü","")</f>
        <v/>
      </c>
      <c r="N21" s="199" t="str">
        <f aca="false">IF(FORMATTED!L14=TRUE(),"ü","")</f>
        <v/>
      </c>
      <c r="O21" s="200" t="n">
        <f aca="false">IF(2965D!N22="","",2965D!N22)</f>
        <v>0.00277777777777777</v>
      </c>
      <c r="P21" s="195" t="n">
        <f aca="false">IF(2965D!P22="","",2965D!P22)</f>
        <v>0.00277777777777777</v>
      </c>
      <c r="Q21" s="196"/>
      <c r="R21" s="196"/>
      <c r="S21" s="196"/>
      <c r="T21" s="196"/>
      <c r="U21" s="196" t="str">
        <f aca="false">IF(2965D!Q22="","",2965D!Q22)</f>
        <v/>
      </c>
      <c r="V21" s="201" t="str">
        <f aca="false">IF(2965D!R22="","",2965D!R22)</f>
        <v/>
      </c>
      <c r="W21" s="202"/>
      <c r="X21" s="203" t="str">
        <f aca="false">IF(FORMATTED!H14=TRUE(),"ü","")</f>
        <v/>
      </c>
      <c r="Y21" s="189" t="str">
        <f aca="false">IFERROR(VLOOKUP(2965D!T22,Pilots[[SN Last 4]:[Pilot]],2,FALSE()),"")</f>
        <v/>
      </c>
      <c r="Z21" s="190" t="str">
        <f aca="false">IF(2965D!$G$5=B21,"Max",IF(2965D!$G$5=B20,"Launches",""))</f>
        <v/>
      </c>
    </row>
    <row r="22" customFormat="false" ht="21.75" hidden="false" customHeight="true" outlineLevel="0" collapsed="false">
      <c r="B22" s="191" t="n">
        <v>14</v>
      </c>
      <c r="C22" s="192" t="n">
        <f aca="false">2965D!B23</f>
        <v>0</v>
      </c>
      <c r="D22" s="192" t="n">
        <f aca="false">2965D!C23</f>
        <v>0</v>
      </c>
      <c r="E22" s="193" t="n">
        <f aca="false">2965D!D23</f>
        <v>0</v>
      </c>
      <c r="F22" s="194" t="n">
        <f aca="false">2965D!E23</f>
        <v>0</v>
      </c>
      <c r="G22" s="194" t="n">
        <f aca="false">2965D!F23</f>
        <v>0</v>
      </c>
      <c r="H22" s="195" t="str">
        <f aca="false">IF(2965D!G23="","",2965D!G23)</f>
        <v/>
      </c>
      <c r="I22" s="196" t="str">
        <f aca="false">IF(2965D!H23="","",2965D!H23)</f>
        <v/>
      </c>
      <c r="J22" s="197" t="str">
        <f aca="false">IF(2965D!I23="","",2965D!I23)</f>
        <v/>
      </c>
      <c r="K22" s="195" t="str">
        <f aca="false">IF(2965D!J23="","",2965D!J23)</f>
        <v/>
      </c>
      <c r="L22" s="197" t="str">
        <f aca="false">IF(2965D!K23="","",2965D!K23)</f>
        <v/>
      </c>
      <c r="M22" s="198" t="str">
        <f aca="false">IF(FORMATTED!K15=TRUE(),"ü","")</f>
        <v/>
      </c>
      <c r="N22" s="199" t="str">
        <f aca="false">IF(FORMATTED!L15=TRUE(),"ü","")</f>
        <v/>
      </c>
      <c r="O22" s="200" t="str">
        <f aca="false">IF(2965D!N23="","",2965D!N23)</f>
        <v/>
      </c>
      <c r="P22" s="195" t="str">
        <f aca="false">IF(2965D!P23="","",2965D!P23)</f>
        <v/>
      </c>
      <c r="Q22" s="196"/>
      <c r="R22" s="196"/>
      <c r="S22" s="196"/>
      <c r="T22" s="196"/>
      <c r="U22" s="196" t="str">
        <f aca="false">IF(2965D!Q23="","",2965D!Q23)</f>
        <v/>
      </c>
      <c r="V22" s="201" t="str">
        <f aca="false">IF(2965D!R23="","",2965D!R23)</f>
        <v/>
      </c>
      <c r="W22" s="202"/>
      <c r="X22" s="203" t="str">
        <f aca="false">IF(FORMATTED!H15=TRUE(),"ü","")</f>
        <v/>
      </c>
      <c r="Y22" s="189" t="str">
        <f aca="false">IFERROR(VLOOKUP(2965D!T23,Pilots[[SN Last 4]:[Pilot]],2,FALSE()),"")</f>
        <v/>
      </c>
      <c r="Z22" s="190" t="str">
        <f aca="false">IF(2965D!$G$5=B22,"Max",IF(2965D!$G$5=B21,"Launches",""))</f>
        <v/>
      </c>
    </row>
    <row r="23" customFormat="false" ht="21.75" hidden="false" customHeight="true" outlineLevel="0" collapsed="false">
      <c r="B23" s="191" t="n">
        <v>15</v>
      </c>
      <c r="C23" s="192" t="n">
        <f aca="false">2965D!B24</f>
        <v>0</v>
      </c>
      <c r="D23" s="192" t="n">
        <f aca="false">2965D!C24</f>
        <v>0</v>
      </c>
      <c r="E23" s="193" t="n">
        <f aca="false">2965D!D24</f>
        <v>0</v>
      </c>
      <c r="F23" s="194" t="n">
        <f aca="false">2965D!E24</f>
        <v>0</v>
      </c>
      <c r="G23" s="194" t="n">
        <f aca="false">2965D!F24</f>
        <v>0</v>
      </c>
      <c r="H23" s="195" t="str">
        <f aca="false">IF(2965D!G24="","",2965D!G24)</f>
        <v/>
      </c>
      <c r="I23" s="196" t="str">
        <f aca="false">IF(2965D!H24="","",2965D!H24)</f>
        <v/>
      </c>
      <c r="J23" s="197" t="str">
        <f aca="false">IF(2965D!I24="","",2965D!I24)</f>
        <v/>
      </c>
      <c r="K23" s="195" t="str">
        <f aca="false">IF(2965D!J24="","",2965D!J24)</f>
        <v/>
      </c>
      <c r="L23" s="197" t="str">
        <f aca="false">IF(2965D!K24="","",2965D!K24)</f>
        <v/>
      </c>
      <c r="M23" s="198" t="str">
        <f aca="false">IF(FORMATTED!K16=TRUE(),"ü","")</f>
        <v/>
      </c>
      <c r="N23" s="199" t="str">
        <f aca="false">IF(FORMATTED!L16=TRUE(),"ü","")</f>
        <v/>
      </c>
      <c r="O23" s="200" t="str">
        <f aca="false">IF(2965D!N24="","",2965D!N24)</f>
        <v/>
      </c>
      <c r="P23" s="195" t="str">
        <f aca="false">IF(2965D!P24="","",2965D!P24)</f>
        <v/>
      </c>
      <c r="Q23" s="196"/>
      <c r="R23" s="196"/>
      <c r="S23" s="196"/>
      <c r="T23" s="196"/>
      <c r="U23" s="196" t="str">
        <f aca="false">IF(2965D!Q24="","",2965D!Q24)</f>
        <v/>
      </c>
      <c r="V23" s="201" t="str">
        <f aca="false">IF(2965D!R24="","",2965D!R24)</f>
        <v/>
      </c>
      <c r="W23" s="202"/>
      <c r="X23" s="203" t="str">
        <f aca="false">IF(FORMATTED!H16=TRUE(),"ü","")</f>
        <v/>
      </c>
      <c r="Y23" s="189" t="str">
        <f aca="false">IFERROR(VLOOKUP(2965D!T24,Pilots[[SN Last 4]:[Pilot]],2,FALSE()),"")</f>
        <v/>
      </c>
      <c r="Z23" s="190" t="str">
        <f aca="false">IF(2965D!$G$5=B23,"Max",IF(2965D!$G$5=B22,"Launches",""))</f>
        <v/>
      </c>
    </row>
    <row r="24" customFormat="false" ht="21.75" hidden="false" customHeight="true" outlineLevel="0" collapsed="false">
      <c r="B24" s="191" t="n">
        <v>16</v>
      </c>
      <c r="C24" s="192" t="n">
        <f aca="false">2965D!B25</f>
        <v>0</v>
      </c>
      <c r="D24" s="192" t="n">
        <f aca="false">2965D!C25</f>
        <v>0</v>
      </c>
      <c r="E24" s="193" t="n">
        <f aca="false">2965D!D25</f>
        <v>0</v>
      </c>
      <c r="F24" s="194" t="n">
        <f aca="false">2965D!E25</f>
        <v>0</v>
      </c>
      <c r="G24" s="194" t="n">
        <f aca="false">2965D!F25</f>
        <v>0</v>
      </c>
      <c r="H24" s="195" t="str">
        <f aca="false">IF(2965D!G25="","",2965D!G25)</f>
        <v/>
      </c>
      <c r="I24" s="196" t="str">
        <f aca="false">IF(2965D!H25="","",2965D!H25)</f>
        <v/>
      </c>
      <c r="J24" s="197" t="str">
        <f aca="false">IF(2965D!I25="","",2965D!I25)</f>
        <v/>
      </c>
      <c r="K24" s="195" t="str">
        <f aca="false">IF(2965D!J25="","",2965D!J25)</f>
        <v/>
      </c>
      <c r="L24" s="197" t="str">
        <f aca="false">IF(2965D!K25="","",2965D!K25)</f>
        <v/>
      </c>
      <c r="M24" s="198" t="str">
        <f aca="false">IF(FORMATTED!K17=TRUE(),"ü","")</f>
        <v/>
      </c>
      <c r="N24" s="199" t="str">
        <f aca="false">IF(FORMATTED!L17=TRUE(),"ü","")</f>
        <v/>
      </c>
      <c r="O24" s="200" t="str">
        <f aca="false">IF(2965D!N25="","",2965D!N25)</f>
        <v/>
      </c>
      <c r="P24" s="195" t="str">
        <f aca="false">IF(2965D!P25="","",2965D!P25)</f>
        <v/>
      </c>
      <c r="Q24" s="196"/>
      <c r="R24" s="196"/>
      <c r="S24" s="196"/>
      <c r="T24" s="196"/>
      <c r="U24" s="196" t="str">
        <f aca="false">IF(2965D!Q25="","",2965D!Q25)</f>
        <v/>
      </c>
      <c r="V24" s="201" t="str">
        <f aca="false">IF(2965D!R25="","",2965D!R25)</f>
        <v/>
      </c>
      <c r="W24" s="202"/>
      <c r="X24" s="203" t="str">
        <f aca="false">IF(FORMATTED!H17=TRUE(),"ü","")</f>
        <v/>
      </c>
      <c r="Y24" s="189" t="str">
        <f aca="false">IFERROR(VLOOKUP(2965D!T25,Pilots[[SN Last 4]:[Pilot]],2,FALSE()),"")</f>
        <v/>
      </c>
      <c r="Z24" s="190" t="str">
        <f aca="false">IF(2965D!$G$5=B24,"Max",IF(2965D!$G$5=B23,"Launches",""))</f>
        <v/>
      </c>
    </row>
    <row r="25" customFormat="false" ht="21.75" hidden="false" customHeight="true" outlineLevel="0" collapsed="false">
      <c r="B25" s="191" t="n">
        <v>17</v>
      </c>
      <c r="C25" s="192" t="n">
        <f aca="false">2965D!B26</f>
        <v>0</v>
      </c>
      <c r="D25" s="192" t="n">
        <f aca="false">2965D!C26</f>
        <v>0</v>
      </c>
      <c r="E25" s="193" t="n">
        <f aca="false">2965D!D26</f>
        <v>0</v>
      </c>
      <c r="F25" s="194" t="n">
        <f aca="false">2965D!E26</f>
        <v>0</v>
      </c>
      <c r="G25" s="194" t="n">
        <f aca="false">2965D!F26</f>
        <v>0</v>
      </c>
      <c r="H25" s="195" t="str">
        <f aca="false">IF(2965D!G26="","",2965D!G26)</f>
        <v/>
      </c>
      <c r="I25" s="196" t="str">
        <f aca="false">IF(2965D!H26="","",2965D!H26)</f>
        <v/>
      </c>
      <c r="J25" s="197" t="str">
        <f aca="false">IF(2965D!I26="","",2965D!I26)</f>
        <v/>
      </c>
      <c r="K25" s="195" t="str">
        <f aca="false">IF(2965D!J26="","",2965D!J26)</f>
        <v/>
      </c>
      <c r="L25" s="197" t="str">
        <f aca="false">IF(2965D!K26="","",2965D!K26)</f>
        <v/>
      </c>
      <c r="M25" s="198" t="str">
        <f aca="false">IF(FORMATTED!K18=TRUE(),"ü","")</f>
        <v/>
      </c>
      <c r="N25" s="199" t="str">
        <f aca="false">IF(FORMATTED!L18=TRUE(),"ü","")</f>
        <v/>
      </c>
      <c r="O25" s="200" t="str">
        <f aca="false">IF(2965D!N26="","",2965D!N26)</f>
        <v/>
      </c>
      <c r="P25" s="195" t="str">
        <f aca="false">IF(2965D!P26="","",2965D!P26)</f>
        <v/>
      </c>
      <c r="Q25" s="196"/>
      <c r="R25" s="196"/>
      <c r="S25" s="196"/>
      <c r="T25" s="196"/>
      <c r="U25" s="196" t="str">
        <f aca="false">IF(2965D!Q26="","",2965D!Q26)</f>
        <v/>
      </c>
      <c r="V25" s="201" t="str">
        <f aca="false">IF(2965D!R26="","",2965D!R26)</f>
        <v/>
      </c>
      <c r="W25" s="202"/>
      <c r="X25" s="203" t="str">
        <f aca="false">IF(FORMATTED!H18=TRUE(),"ü","")</f>
        <v/>
      </c>
      <c r="Y25" s="189" t="str">
        <f aca="false">IFERROR(VLOOKUP(2965D!T26,Pilots[[SN Last 4]:[Pilot]],2,FALSE()),"")</f>
        <v/>
      </c>
      <c r="Z25" s="190" t="str">
        <f aca="false">IF(2965D!$G$5=B25,"Max",IF(2965D!$G$5=B24,"Launches",""))</f>
        <v/>
      </c>
    </row>
    <row r="26" customFormat="false" ht="21.75" hidden="false" customHeight="true" outlineLevel="0" collapsed="false">
      <c r="B26" s="191" t="n">
        <v>18</v>
      </c>
      <c r="C26" s="192" t="n">
        <f aca="false">2965D!B27</f>
        <v>0</v>
      </c>
      <c r="D26" s="192" t="n">
        <f aca="false">2965D!C27</f>
        <v>0</v>
      </c>
      <c r="E26" s="193" t="n">
        <f aca="false">2965D!D27</f>
        <v>0</v>
      </c>
      <c r="F26" s="194" t="n">
        <f aca="false">2965D!E27</f>
        <v>0</v>
      </c>
      <c r="G26" s="194" t="n">
        <f aca="false">2965D!F27</f>
        <v>0</v>
      </c>
      <c r="H26" s="195" t="str">
        <f aca="false">IF(2965D!G27="","",2965D!G27)</f>
        <v/>
      </c>
      <c r="I26" s="196" t="str">
        <f aca="false">IF(2965D!H27="","",2965D!H27)</f>
        <v/>
      </c>
      <c r="J26" s="197" t="str">
        <f aca="false">IF(2965D!I27="","",2965D!I27)</f>
        <v/>
      </c>
      <c r="K26" s="195" t="str">
        <f aca="false">IF(2965D!J27="","",2965D!J27)</f>
        <v/>
      </c>
      <c r="L26" s="197" t="str">
        <f aca="false">IF(2965D!K27="","",2965D!K27)</f>
        <v/>
      </c>
      <c r="M26" s="198" t="str">
        <f aca="false">IF(FORMATTED!K19=TRUE(),"ü","")</f>
        <v/>
      </c>
      <c r="N26" s="199" t="str">
        <f aca="false">IF(FORMATTED!L19=TRUE(),"ü","")</f>
        <v/>
      </c>
      <c r="O26" s="200" t="str">
        <f aca="false">IF(2965D!N27="","",2965D!N27)</f>
        <v/>
      </c>
      <c r="P26" s="195" t="str">
        <f aca="false">IF(2965D!P27="","",2965D!P27)</f>
        <v/>
      </c>
      <c r="Q26" s="196"/>
      <c r="R26" s="196"/>
      <c r="S26" s="196"/>
      <c r="T26" s="196"/>
      <c r="U26" s="196" t="str">
        <f aca="false">IF(2965D!Q27="","",2965D!Q27)</f>
        <v/>
      </c>
      <c r="V26" s="201" t="str">
        <f aca="false">IF(2965D!R27="","",2965D!R27)</f>
        <v/>
      </c>
      <c r="W26" s="202"/>
      <c r="X26" s="203" t="str">
        <f aca="false">IF(FORMATTED!H19=TRUE(),"ü","")</f>
        <v/>
      </c>
      <c r="Y26" s="189" t="str">
        <f aca="false">IFERROR(VLOOKUP(2965D!T27,Pilots[[SN Last 4]:[Pilot]],2,FALSE()),"")</f>
        <v/>
      </c>
      <c r="Z26" s="190" t="str">
        <f aca="false">IF(2965D!$G$5=B26,"Max",IF(2965D!$G$5=B25,"Launches",""))</f>
        <v/>
      </c>
    </row>
    <row r="27" customFormat="false" ht="21.75" hidden="false" customHeight="true" outlineLevel="0" collapsed="false">
      <c r="B27" s="191" t="n">
        <v>19</v>
      </c>
      <c r="C27" s="192" t="n">
        <f aca="false">2965D!B28</f>
        <v>0</v>
      </c>
      <c r="D27" s="192" t="n">
        <f aca="false">2965D!C28</f>
        <v>0</v>
      </c>
      <c r="E27" s="193" t="n">
        <f aca="false">2965D!D28</f>
        <v>0</v>
      </c>
      <c r="F27" s="194" t="n">
        <f aca="false">2965D!E28</f>
        <v>0</v>
      </c>
      <c r="G27" s="194" t="n">
        <f aca="false">2965D!F28</f>
        <v>0</v>
      </c>
      <c r="H27" s="195" t="str">
        <f aca="false">IF(2965D!G28="","",2965D!G28)</f>
        <v/>
      </c>
      <c r="I27" s="196" t="str">
        <f aca="false">IF(2965D!H28="","",2965D!H28)</f>
        <v/>
      </c>
      <c r="J27" s="197" t="str">
        <f aca="false">IF(2965D!I28="","",2965D!I28)</f>
        <v/>
      </c>
      <c r="K27" s="195" t="str">
        <f aca="false">IF(2965D!J28="","",2965D!J28)</f>
        <v/>
      </c>
      <c r="L27" s="197" t="str">
        <f aca="false">IF(2965D!K28="","",2965D!K28)</f>
        <v/>
      </c>
      <c r="M27" s="198" t="str">
        <f aca="false">IF(FORMATTED!K20=TRUE(),"ü","")</f>
        <v/>
      </c>
      <c r="N27" s="199" t="str">
        <f aca="false">IF(FORMATTED!L20=TRUE(),"ü","")</f>
        <v/>
      </c>
      <c r="O27" s="200" t="str">
        <f aca="false">IF(2965D!N28="","",2965D!N28)</f>
        <v/>
      </c>
      <c r="P27" s="195" t="str">
        <f aca="false">IF(2965D!P28="","",2965D!P28)</f>
        <v/>
      </c>
      <c r="Q27" s="196"/>
      <c r="R27" s="196"/>
      <c r="S27" s="196"/>
      <c r="T27" s="196"/>
      <c r="U27" s="196" t="str">
        <f aca="false">IF(2965D!Q28="","",2965D!Q28)</f>
        <v/>
      </c>
      <c r="V27" s="201" t="str">
        <f aca="false">IF(2965D!R28="","",2965D!R28)</f>
        <v/>
      </c>
      <c r="W27" s="202"/>
      <c r="X27" s="203" t="str">
        <f aca="false">IF(FORMATTED!H20=TRUE(),"ü","")</f>
        <v/>
      </c>
      <c r="Y27" s="189" t="str">
        <f aca="false">IFERROR(VLOOKUP(2965D!T28,Pilots[[SN Last 4]:[Pilot]],2,FALSE()),"")</f>
        <v/>
      </c>
      <c r="Z27" s="190" t="str">
        <f aca="false">IF(2965D!$G$5=B27,"Max",IF(2965D!$G$5=B26,"Launches",""))</f>
        <v/>
      </c>
    </row>
    <row r="28" customFormat="false" ht="21.75" hidden="false" customHeight="true" outlineLevel="0" collapsed="false">
      <c r="B28" s="191" t="n">
        <v>20</v>
      </c>
      <c r="C28" s="192" t="n">
        <f aca="false">2965D!B29</f>
        <v>0</v>
      </c>
      <c r="D28" s="192" t="n">
        <f aca="false">2965D!C29</f>
        <v>0</v>
      </c>
      <c r="E28" s="193" t="n">
        <f aca="false">2965D!D29</f>
        <v>0</v>
      </c>
      <c r="F28" s="194" t="n">
        <f aca="false">2965D!E29</f>
        <v>0</v>
      </c>
      <c r="G28" s="194" t="n">
        <f aca="false">2965D!F29</f>
        <v>0</v>
      </c>
      <c r="H28" s="195" t="str">
        <f aca="false">IF(2965D!G29="","",2965D!G29)</f>
        <v/>
      </c>
      <c r="I28" s="196" t="str">
        <f aca="false">IF(2965D!H29="","",2965D!H29)</f>
        <v/>
      </c>
      <c r="J28" s="197" t="str">
        <f aca="false">IF(2965D!I29="","",2965D!I29)</f>
        <v/>
      </c>
      <c r="K28" s="195" t="str">
        <f aca="false">IF(2965D!J29="","",2965D!J29)</f>
        <v/>
      </c>
      <c r="L28" s="197" t="str">
        <f aca="false">IF(2965D!K29="","",2965D!K29)</f>
        <v/>
      </c>
      <c r="M28" s="198" t="str">
        <f aca="false">IF(FORMATTED!K21=TRUE(),"ü","")</f>
        <v/>
      </c>
      <c r="N28" s="199" t="str">
        <f aca="false">IF(FORMATTED!L21=TRUE(),"ü","")</f>
        <v/>
      </c>
      <c r="O28" s="200" t="str">
        <f aca="false">IF(2965D!N29="","",2965D!N29)</f>
        <v/>
      </c>
      <c r="P28" s="195" t="str">
        <f aca="false">IF(2965D!P29="","",2965D!P29)</f>
        <v/>
      </c>
      <c r="Q28" s="196"/>
      <c r="R28" s="196"/>
      <c r="S28" s="196"/>
      <c r="T28" s="196"/>
      <c r="U28" s="196" t="str">
        <f aca="false">IF(2965D!Q29="","",2965D!Q29)</f>
        <v/>
      </c>
      <c r="V28" s="201" t="str">
        <f aca="false">IF(2965D!R29="","",2965D!R29)</f>
        <v/>
      </c>
      <c r="W28" s="202"/>
      <c r="X28" s="203" t="str">
        <f aca="false">IF(FORMATTED!H21=TRUE(),"ü","")</f>
        <v/>
      </c>
      <c r="Y28" s="189" t="str">
        <f aca="false">IFERROR(VLOOKUP(2965D!T29,Pilots[[SN Last 4]:[Pilot]],2,FALSE()),"")</f>
        <v/>
      </c>
      <c r="Z28" s="190" t="str">
        <f aca="false">IF(2965D!$G$5=B28,"Max",IF(2965D!$G$5=B27,"Launches",""))</f>
        <v/>
      </c>
    </row>
    <row r="29" customFormat="false" ht="24.75" hidden="false" customHeight="true" outlineLevel="0" collapsed="false">
      <c r="B29" s="204" t="s">
        <v>75</v>
      </c>
      <c r="C29" s="204"/>
      <c r="D29" s="204"/>
      <c r="E29" s="1"/>
      <c r="F29" s="205" t="s">
        <v>76</v>
      </c>
      <c r="G29" s="206" t="s">
        <v>77</v>
      </c>
      <c r="H29" s="207" t="n">
        <f aca="false">SUM(H9:H28)</f>
        <v>0.0222222222222222</v>
      </c>
      <c r="I29" s="208" t="n">
        <f aca="false">SUM(I9:I28)</f>
        <v>0</v>
      </c>
      <c r="J29" s="208" t="n">
        <f aca="false">SUM(J9:J28)</f>
        <v>0.0131944444444444</v>
      </c>
      <c r="K29" s="208" t="n">
        <f aca="false">SUM(K9:K28)</f>
        <v>0.00347222222222232</v>
      </c>
      <c r="L29" s="209" t="n">
        <f aca="false">SUM(L9:L28)</f>
        <v>0.00347222222222221</v>
      </c>
      <c r="M29" s="210"/>
      <c r="N29" s="210"/>
      <c r="O29" s="211" t="n">
        <f aca="false">SUM(O9:O28)</f>
        <v>0.00277777777777777</v>
      </c>
      <c r="P29" s="212" t="n">
        <f aca="false">SUM(P9:P28)</f>
        <v>0.0354166666666667</v>
      </c>
      <c r="Q29" s="208"/>
      <c r="R29" s="208"/>
      <c r="S29" s="208"/>
      <c r="T29" s="208"/>
      <c r="U29" s="208" t="n">
        <f aca="false">SUM(U9:U28)</f>
        <v>0.00555555555555556</v>
      </c>
      <c r="V29" s="209" t="n">
        <f aca="false">SUM(V9:V28)</f>
        <v>0.00416666666666667</v>
      </c>
      <c r="W29" s="1"/>
      <c r="X29" s="1"/>
      <c r="Y29" s="1"/>
      <c r="Z29" s="190" t="str">
        <f aca="false">IF(2965D!$G$5=B29,"Max",IF(2965D!$G$5=B28,"Launches",""))</f>
        <v/>
      </c>
    </row>
    <row r="30" customFormat="false" ht="24.75" hidden="false" customHeight="true" outlineLevel="0" collapsed="false">
      <c r="B30" s="204"/>
      <c r="C30" s="204"/>
      <c r="D30" s="204"/>
      <c r="E30" s="1"/>
      <c r="F30" s="205"/>
      <c r="G30" s="213" t="s">
        <v>51</v>
      </c>
      <c r="H30" s="119" t="n">
        <f aca="false">COUNT(H9:H28)</f>
        <v>6</v>
      </c>
      <c r="I30" s="214" t="n">
        <f aca="false">COUNT(I9:I28)</f>
        <v>0</v>
      </c>
      <c r="J30" s="214" t="n">
        <f aca="false">COUNT(J9:J28)</f>
        <v>4</v>
      </c>
      <c r="K30" s="214" t="n">
        <f aca="false">COUNT(K9:K28)</f>
        <v>1</v>
      </c>
      <c r="L30" s="122" t="n">
        <f aca="false">COUNT(L9:L28)</f>
        <v>1</v>
      </c>
      <c r="M30" s="8"/>
      <c r="N30" s="8"/>
      <c r="O30" s="123" t="n">
        <f aca="false">COUNT(O9:O28)</f>
        <v>1</v>
      </c>
      <c r="P30" s="215" t="n">
        <f aca="false">COUNT(P9:P28)</f>
        <v>11</v>
      </c>
      <c r="Q30" s="214"/>
      <c r="R30" s="214"/>
      <c r="S30" s="214"/>
      <c r="T30" s="214"/>
      <c r="U30" s="214" t="n">
        <f aca="false">COUNT(U9:U28)</f>
        <v>1</v>
      </c>
      <c r="V30" s="122" t="n">
        <f aca="false">COUNT(V9:V28)</f>
        <v>1</v>
      </c>
      <c r="W30" s="1"/>
      <c r="X30" s="1"/>
      <c r="Y30" s="1"/>
    </row>
    <row r="31" customFormat="false" ht="15" hidden="false" customHeight="false" outlineLevel="0" collapsed="false">
      <c r="B31" s="204"/>
      <c r="C31" s="204"/>
      <c r="D31" s="204"/>
      <c r="E31" s="1"/>
      <c r="F31" s="1"/>
      <c r="G31" s="1"/>
      <c r="H31" s="1"/>
      <c r="I31" s="1"/>
      <c r="J31" s="1"/>
      <c r="K31" s="1"/>
      <c r="L31" s="1"/>
      <c r="M31" s="1"/>
      <c r="N31" s="1"/>
      <c r="O31" s="1"/>
      <c r="P31" s="1"/>
      <c r="Q31" s="1"/>
      <c r="R31" s="1"/>
      <c r="S31" s="1"/>
      <c r="T31" s="1"/>
      <c r="U31" s="1"/>
      <c r="V31" s="1"/>
      <c r="W31" s="1"/>
      <c r="X31" s="1"/>
      <c r="Y31" s="1"/>
    </row>
    <row r="32" customFormat="false" ht="15" hidden="false" customHeight="false" outlineLevel="0" collapsed="false">
      <c r="B32" s="204"/>
      <c r="C32" s="204"/>
      <c r="D32" s="204"/>
      <c r="E32" s="1"/>
      <c r="F32" s="1"/>
      <c r="G32" s="1"/>
      <c r="H32" s="1"/>
      <c r="I32" s="1"/>
      <c r="J32" s="1"/>
      <c r="K32" s="1"/>
      <c r="L32" s="1"/>
      <c r="M32" s="1"/>
      <c r="N32" s="1"/>
      <c r="O32" s="1"/>
      <c r="P32" s="1"/>
      <c r="Q32" s="1"/>
      <c r="R32" s="1"/>
      <c r="S32" s="1"/>
      <c r="T32" s="1"/>
      <c r="U32" s="1"/>
      <c r="V32" s="1"/>
      <c r="W32" s="1"/>
      <c r="X32" s="1"/>
      <c r="Y32" s="1"/>
    </row>
    <row r="33" customFormat="false" ht="15" hidden="false" customHeight="false" outlineLevel="0" collapsed="false">
      <c r="B33" s="204"/>
      <c r="C33" s="204"/>
      <c r="D33" s="204"/>
      <c r="E33" s="1"/>
      <c r="F33" s="1"/>
      <c r="G33" s="1"/>
      <c r="H33" s="1"/>
      <c r="I33" s="1"/>
      <c r="J33" s="1"/>
      <c r="K33" s="1"/>
      <c r="L33" s="1"/>
      <c r="M33" s="1"/>
      <c r="N33" s="1"/>
      <c r="O33" s="1"/>
      <c r="P33" s="1"/>
      <c r="Q33" s="1"/>
      <c r="R33" s="1"/>
      <c r="S33" s="1"/>
      <c r="T33" s="1"/>
      <c r="U33" s="1"/>
      <c r="V33" s="1"/>
      <c r="W33" s="1"/>
      <c r="X33" s="1"/>
      <c r="Y33" s="1"/>
    </row>
    <row r="34" customFormat="false" ht="15" hidden="false" customHeight="false" outlineLevel="0" collapsed="false">
      <c r="B34" s="204"/>
      <c r="C34" s="204"/>
      <c r="D34" s="204"/>
      <c r="E34" s="1"/>
      <c r="F34" s="1"/>
      <c r="G34" s="1"/>
      <c r="H34" s="1"/>
      <c r="I34" s="1"/>
      <c r="J34" s="1"/>
      <c r="K34" s="1"/>
      <c r="L34" s="1"/>
      <c r="M34" s="1"/>
      <c r="N34" s="1"/>
      <c r="O34" s="1"/>
      <c r="P34" s="1"/>
      <c r="Q34" s="1"/>
      <c r="R34" s="1"/>
      <c r="S34" s="1"/>
      <c r="T34" s="1"/>
      <c r="U34" s="1"/>
      <c r="V34" s="1"/>
      <c r="W34" s="1"/>
      <c r="X34" s="1"/>
      <c r="Y34" s="1"/>
    </row>
    <row r="35" customFormat="false" ht="15" hidden="false" customHeight="false" outlineLevel="0" collapsed="false">
      <c r="B35" s="204"/>
      <c r="C35" s="204"/>
      <c r="D35" s="204"/>
      <c r="E35" s="1"/>
      <c r="F35" s="1"/>
      <c r="G35" s="1"/>
      <c r="H35" s="1"/>
      <c r="I35" s="1"/>
      <c r="J35" s="1"/>
      <c r="K35" s="1"/>
      <c r="L35" s="1"/>
      <c r="M35" s="1"/>
      <c r="N35" s="1"/>
      <c r="O35" s="1"/>
      <c r="P35" s="1"/>
      <c r="Q35" s="1"/>
      <c r="R35" s="1"/>
      <c r="S35" s="1"/>
      <c r="T35" s="1"/>
      <c r="U35" s="1"/>
      <c r="V35" s="1"/>
      <c r="W35" s="1"/>
      <c r="X35" s="1"/>
      <c r="Y35" s="1"/>
    </row>
    <row r="36" customFormat="false" ht="35.25" hidden="false" customHeight="true" outlineLevel="0" collapsed="false">
      <c r="B36" s="216"/>
      <c r="C36" s="216"/>
      <c r="D36" s="216"/>
    </row>
    <row r="37" customFormat="false" ht="17.25" hidden="false" customHeight="true" outlineLevel="0" collapsed="false"/>
    <row r="38" customFormat="false" ht="18" hidden="false" customHeight="true" outlineLevel="0" collapsed="false">
      <c r="B38" s="5"/>
      <c r="C38" s="217" t="s">
        <v>59</v>
      </c>
      <c r="D38" s="218" t="s">
        <v>1</v>
      </c>
      <c r="E38" s="218"/>
      <c r="F38" s="219" t="str">
        <f aca="false">IF(ISBLANK(2965D!$F$2), "", 2965D!$F$2)</f>
        <v>ZE633</v>
      </c>
      <c r="G38" s="220"/>
      <c r="H38" s="218" t="s">
        <v>3</v>
      </c>
      <c r="I38" s="218"/>
      <c r="J38" s="218"/>
      <c r="K38" s="218"/>
      <c r="L38" s="219" t="str">
        <f aca="false">IF(ISBLANK(2965D!$L$2), "", 2965D!$L$2)</f>
        <v>XX</v>
      </c>
      <c r="M38" s="221"/>
      <c r="N38" s="220"/>
      <c r="O38" s="218" t="s">
        <v>4</v>
      </c>
      <c r="P38" s="218"/>
      <c r="Q38" s="153" t="n">
        <f aca="false">IF(ISBLANK(2965D!$O$2),"",2965D!$O$2)</f>
        <v>46067</v>
      </c>
      <c r="R38" s="153"/>
      <c r="S38" s="153"/>
      <c r="T38" s="154"/>
      <c r="U38" s="5"/>
      <c r="V38" s="5"/>
      <c r="W38" s="5"/>
      <c r="X38" s="5"/>
      <c r="Y38" s="5"/>
    </row>
    <row r="39" customFormat="false" ht="15.75" hidden="false" customHeight="false" outlineLevel="0" collapsed="false">
      <c r="B39" s="1"/>
      <c r="C39" s="1"/>
      <c r="D39" s="1"/>
      <c r="E39" s="1"/>
      <c r="F39" s="1"/>
      <c r="G39" s="1"/>
      <c r="H39" s="1"/>
      <c r="I39" s="1"/>
      <c r="J39" s="1"/>
      <c r="K39" s="1"/>
      <c r="L39" s="1"/>
      <c r="M39" s="1"/>
      <c r="N39" s="1"/>
      <c r="O39" s="1"/>
      <c r="P39" s="1"/>
      <c r="Q39" s="1"/>
      <c r="R39" s="1"/>
      <c r="S39" s="1"/>
      <c r="T39" s="1"/>
      <c r="U39" s="1"/>
      <c r="V39" s="1"/>
      <c r="W39" s="1"/>
      <c r="X39" s="1"/>
      <c r="Y39" s="1"/>
    </row>
    <row r="40" customFormat="false" ht="15" hidden="false" customHeight="true" outlineLevel="0" collapsed="false">
      <c r="B40" s="157" t="s">
        <v>60</v>
      </c>
      <c r="C40" s="159" t="s">
        <v>61</v>
      </c>
      <c r="D40" s="157" t="s">
        <v>62</v>
      </c>
      <c r="E40" s="158" t="s">
        <v>25</v>
      </c>
      <c r="F40" s="159" t="s">
        <v>63</v>
      </c>
      <c r="G40" s="157" t="s">
        <v>27</v>
      </c>
      <c r="H40" s="161" t="s">
        <v>10</v>
      </c>
      <c r="I40" s="161"/>
      <c r="J40" s="161"/>
      <c r="K40" s="162" t="s">
        <v>11</v>
      </c>
      <c r="L40" s="162"/>
      <c r="M40" s="161" t="s">
        <v>12</v>
      </c>
      <c r="N40" s="161"/>
      <c r="O40" s="165" t="s">
        <v>64</v>
      </c>
      <c r="P40" s="222" t="s">
        <v>65</v>
      </c>
      <c r="Q40" s="222"/>
      <c r="R40" s="222"/>
      <c r="S40" s="222"/>
      <c r="T40" s="222"/>
      <c r="U40" s="222"/>
      <c r="V40" s="222"/>
      <c r="W40" s="165" t="s">
        <v>66</v>
      </c>
      <c r="X40" s="158" t="s">
        <v>16</v>
      </c>
      <c r="Y40" s="165" t="s">
        <v>67</v>
      </c>
    </row>
    <row r="41" customFormat="false" ht="15" hidden="false" customHeight="false" outlineLevel="0" collapsed="false">
      <c r="B41" s="157"/>
      <c r="C41" s="159"/>
      <c r="D41" s="157"/>
      <c r="E41" s="158"/>
      <c r="F41" s="159"/>
      <c r="G41" s="157"/>
      <c r="H41" s="169" t="s">
        <v>68</v>
      </c>
      <c r="I41" s="167" t="s">
        <v>69</v>
      </c>
      <c r="J41" s="170" t="s">
        <v>70</v>
      </c>
      <c r="K41" s="169" t="s">
        <v>21</v>
      </c>
      <c r="L41" s="168" t="s">
        <v>22</v>
      </c>
      <c r="M41" s="161"/>
      <c r="N41" s="161"/>
      <c r="O41" s="165"/>
      <c r="P41" s="222"/>
      <c r="Q41" s="222"/>
      <c r="R41" s="222"/>
      <c r="S41" s="222"/>
      <c r="T41" s="222"/>
      <c r="U41" s="222"/>
      <c r="V41" s="222"/>
      <c r="W41" s="165"/>
      <c r="X41" s="158"/>
      <c r="Y41" s="165"/>
    </row>
    <row r="42" customFormat="false" ht="15.75" hidden="false" customHeight="false" outlineLevel="0" collapsed="false">
      <c r="B42" s="157"/>
      <c r="C42" s="159"/>
      <c r="D42" s="157"/>
      <c r="E42" s="158"/>
      <c r="F42" s="159"/>
      <c r="G42" s="157"/>
      <c r="H42" s="223" t="s">
        <v>28</v>
      </c>
      <c r="I42" s="224" t="s">
        <v>29</v>
      </c>
      <c r="J42" s="225" t="s">
        <v>30</v>
      </c>
      <c r="K42" s="223" t="s">
        <v>31</v>
      </c>
      <c r="L42" s="226" t="s">
        <v>32</v>
      </c>
      <c r="M42" s="223" t="s">
        <v>33</v>
      </c>
      <c r="N42" s="225" t="s">
        <v>34</v>
      </c>
      <c r="O42" s="165"/>
      <c r="P42" s="223" t="n">
        <v>1</v>
      </c>
      <c r="Q42" s="224" t="n">
        <v>2</v>
      </c>
      <c r="R42" s="224" t="n">
        <v>3</v>
      </c>
      <c r="S42" s="224" t="n">
        <v>4</v>
      </c>
      <c r="T42" s="224" t="n">
        <v>5</v>
      </c>
      <c r="U42" s="224" t="n">
        <v>6</v>
      </c>
      <c r="V42" s="225" t="n">
        <v>7</v>
      </c>
      <c r="W42" s="165"/>
      <c r="X42" s="158"/>
      <c r="Y42" s="165"/>
    </row>
    <row r="43" customFormat="false" ht="24.75" hidden="false" customHeight="true" outlineLevel="0" collapsed="false">
      <c r="B43" s="227" t="s">
        <v>78</v>
      </c>
      <c r="C43" s="227"/>
      <c r="D43" s="227"/>
      <c r="E43" s="227"/>
      <c r="F43" s="227"/>
      <c r="G43" s="228" t="s">
        <v>77</v>
      </c>
      <c r="H43" s="229" t="n">
        <f aca="false">H29</f>
        <v>0.0222222222222222</v>
      </c>
      <c r="I43" s="230" t="n">
        <f aca="false">I29</f>
        <v>0</v>
      </c>
      <c r="J43" s="231" t="n">
        <f aca="false">J29</f>
        <v>0.0131944444444444</v>
      </c>
      <c r="K43" s="232" t="n">
        <f aca="false">K29</f>
        <v>0.00347222222222232</v>
      </c>
      <c r="L43" s="233" t="n">
        <f aca="false">L29</f>
        <v>0.00347222222222221</v>
      </c>
      <c r="M43" s="234"/>
      <c r="N43" s="235"/>
      <c r="O43" s="236" t="n">
        <f aca="false">O29</f>
        <v>0.00277777777777777</v>
      </c>
      <c r="P43" s="229" t="n">
        <f aca="false">P29</f>
        <v>0.0354166666666667</v>
      </c>
      <c r="Q43" s="230"/>
      <c r="R43" s="230"/>
      <c r="S43" s="230"/>
      <c r="T43" s="230"/>
      <c r="U43" s="230" t="n">
        <f aca="false">U29</f>
        <v>0.00555555555555556</v>
      </c>
      <c r="V43" s="231" t="n">
        <f aca="false">V29</f>
        <v>0.00416666666666667</v>
      </c>
      <c r="W43" s="237"/>
      <c r="X43" s="237"/>
      <c r="Y43" s="237"/>
    </row>
    <row r="44" customFormat="false" ht="24.75" hidden="false" customHeight="true" outlineLevel="0" collapsed="false">
      <c r="B44" s="227"/>
      <c r="C44" s="227"/>
      <c r="D44" s="227"/>
      <c r="E44" s="227"/>
      <c r="F44" s="227"/>
      <c r="G44" s="238" t="s">
        <v>51</v>
      </c>
      <c r="H44" s="239" t="n">
        <f aca="false">IF(H30="","",H30)</f>
        <v>6</v>
      </c>
      <c r="I44" s="240" t="n">
        <f aca="false">IF(I30="","",I30)</f>
        <v>0</v>
      </c>
      <c r="J44" s="241" t="n">
        <f aca="false">IF(J30="","",J30)</f>
        <v>4</v>
      </c>
      <c r="K44" s="239" t="n">
        <f aca="false">IF(K30="","",K30)</f>
        <v>1</v>
      </c>
      <c r="L44" s="242" t="n">
        <f aca="false">IF(L30="","",L30)</f>
        <v>1</v>
      </c>
      <c r="M44" s="243"/>
      <c r="N44" s="244"/>
      <c r="O44" s="244" t="n">
        <f aca="false">IF(O30="","",O30)</f>
        <v>1</v>
      </c>
      <c r="P44" s="245" t="n">
        <f aca="false">IF(P30="","",P30)</f>
        <v>11</v>
      </c>
      <c r="Q44" s="246" t="str">
        <f aca="false">IF(Q30="","",Q30)</f>
        <v/>
      </c>
      <c r="R44" s="246" t="str">
        <f aca="false">IF(R30="","",R30)</f>
        <v/>
      </c>
      <c r="S44" s="246" t="str">
        <f aca="false">IF(S30="","",S30)</f>
        <v/>
      </c>
      <c r="T44" s="246" t="str">
        <f aca="false">IF(T30="","",T30)</f>
        <v/>
      </c>
      <c r="U44" s="246" t="n">
        <f aca="false">IF(U30="","",U30)</f>
        <v>1</v>
      </c>
      <c r="V44" s="247" t="n">
        <f aca="false">IF(V30="","",V30)</f>
        <v>1</v>
      </c>
      <c r="W44" s="237"/>
      <c r="X44" s="237"/>
      <c r="Y44" s="237"/>
    </row>
    <row r="45" customFormat="false" ht="24.75" hidden="false" customHeight="true" outlineLevel="0" collapsed="false">
      <c r="B45" s="176" t="n">
        <v>21</v>
      </c>
      <c r="C45" s="177" t="n">
        <f aca="false">2965D!B30</f>
        <v>0</v>
      </c>
      <c r="D45" s="177" t="n">
        <f aca="false">2965D!C30</f>
        <v>0</v>
      </c>
      <c r="E45" s="178" t="n">
        <f aca="false">2965D!D30</f>
        <v>0</v>
      </c>
      <c r="F45" s="179" t="n">
        <f aca="false">2965D!E30</f>
        <v>0</v>
      </c>
      <c r="G45" s="179" t="n">
        <f aca="false">2965D!F30</f>
        <v>0</v>
      </c>
      <c r="H45" s="180" t="str">
        <f aca="false">IF(2965D!G30="","",2965D!G30)</f>
        <v/>
      </c>
      <c r="I45" s="181" t="str">
        <f aca="false">IF(2965D!H30="","",2965D!H30)</f>
        <v/>
      </c>
      <c r="J45" s="182" t="str">
        <f aca="false">IF(2965D!I30="","",2965D!I30)</f>
        <v/>
      </c>
      <c r="K45" s="180" t="str">
        <f aca="false">IF(2965D!J30="","",2965D!J30)</f>
        <v/>
      </c>
      <c r="L45" s="182" t="str">
        <f aca="false">IF(2965D!K30="","",2965D!K30)</f>
        <v/>
      </c>
      <c r="M45" s="183" t="str">
        <f aca="false">IF(FORMATTED!K22=TRUE(),"ü","")</f>
        <v/>
      </c>
      <c r="N45" s="184" t="str">
        <f aca="false">IF(FORMATTED!L22=TRUE(),"ü","")</f>
        <v/>
      </c>
      <c r="O45" s="185" t="str">
        <f aca="false">IF(2965D!N30="","",2965D!N30)</f>
        <v/>
      </c>
      <c r="P45" s="180" t="str">
        <f aca="false">IF(2965D!P30="","",2965D!P30)</f>
        <v/>
      </c>
      <c r="Q45" s="181"/>
      <c r="R45" s="181"/>
      <c r="S45" s="181"/>
      <c r="T45" s="181"/>
      <c r="U45" s="181" t="str">
        <f aca="false">IF(2965D!Q30="","",2965D!Q30)</f>
        <v/>
      </c>
      <c r="V45" s="186" t="str">
        <f aca="false">IF(2965D!R30="","",2965D!R30)</f>
        <v/>
      </c>
      <c r="W45" s="187"/>
      <c r="X45" s="188" t="str">
        <f aca="false">IF(FORMATTED!H22=TRUE(),"ü","")</f>
        <v/>
      </c>
      <c r="Y45" s="189" t="str">
        <f aca="false">IFERROR(VLOOKUP(2965D!T30,Pilots[[SN Last 4]:[Pilot]],2,FALSE()),"")</f>
        <v/>
      </c>
      <c r="Z45" s="190" t="str">
        <f aca="false">IF(2965D!$G$5=B45,"Max","")</f>
        <v/>
      </c>
    </row>
    <row r="46" customFormat="false" ht="24.75" hidden="false" customHeight="true" outlineLevel="0" collapsed="false">
      <c r="B46" s="191" t="n">
        <v>22</v>
      </c>
      <c r="C46" s="192" t="n">
        <f aca="false">2965D!B31</f>
        <v>0</v>
      </c>
      <c r="D46" s="192" t="n">
        <f aca="false">2965D!C31</f>
        <v>0</v>
      </c>
      <c r="E46" s="193" t="n">
        <f aca="false">2965D!D31</f>
        <v>0</v>
      </c>
      <c r="F46" s="194" t="n">
        <f aca="false">2965D!E31</f>
        <v>0</v>
      </c>
      <c r="G46" s="194" t="n">
        <f aca="false">2965D!F31</f>
        <v>0</v>
      </c>
      <c r="H46" s="195" t="str">
        <f aca="false">IF(2965D!G31="","",2965D!G31)</f>
        <v/>
      </c>
      <c r="I46" s="196" t="str">
        <f aca="false">IF(2965D!H31="","",2965D!H31)</f>
        <v/>
      </c>
      <c r="J46" s="197" t="str">
        <f aca="false">IF(2965D!I31="","",2965D!I31)</f>
        <v/>
      </c>
      <c r="K46" s="195" t="str">
        <f aca="false">IF(2965D!J31="","",2965D!J31)</f>
        <v/>
      </c>
      <c r="L46" s="197" t="str">
        <f aca="false">IF(2965D!K31="","",2965D!K31)</f>
        <v/>
      </c>
      <c r="M46" s="198" t="str">
        <f aca="false">IF(FORMATTED!K23=TRUE(),"ü","")</f>
        <v/>
      </c>
      <c r="N46" s="199" t="str">
        <f aca="false">IF(FORMATTED!L23=TRUE(),"ü","")</f>
        <v/>
      </c>
      <c r="O46" s="200" t="str">
        <f aca="false">IF(2965D!N31="","",2965D!N31)</f>
        <v/>
      </c>
      <c r="P46" s="195" t="str">
        <f aca="false">IF(2965D!P31="","",2965D!P31)</f>
        <v/>
      </c>
      <c r="Q46" s="196"/>
      <c r="R46" s="196"/>
      <c r="S46" s="196"/>
      <c r="T46" s="196"/>
      <c r="U46" s="196" t="str">
        <f aca="false">IF(2965D!Q31="","",2965D!Q31)</f>
        <v/>
      </c>
      <c r="V46" s="201" t="str">
        <f aca="false">IF(2965D!R31="","",2965D!R31)</f>
        <v/>
      </c>
      <c r="W46" s="202"/>
      <c r="X46" s="203" t="str">
        <f aca="false">IF(FORMATTED!H23=TRUE(),"ü","")</f>
        <v/>
      </c>
      <c r="Y46" s="248" t="str">
        <f aca="false">IFERROR(VLOOKUP(2965D!T31,Pilots[[SN Last 4]:[Pilot]],2,FALSE()),"")</f>
        <v/>
      </c>
      <c r="Z46" s="190" t="str">
        <f aca="false">IF(2965D!$G$5=B46,"Max",IF(2965D!$G$5=B45,"Launches",""))</f>
        <v/>
      </c>
    </row>
    <row r="47" customFormat="false" ht="24.75" hidden="false" customHeight="true" outlineLevel="0" collapsed="false">
      <c r="B47" s="191" t="n">
        <v>23</v>
      </c>
      <c r="C47" s="192" t="n">
        <f aca="false">2965D!B32</f>
        <v>0</v>
      </c>
      <c r="D47" s="192" t="n">
        <f aca="false">2965D!C32</f>
        <v>0</v>
      </c>
      <c r="E47" s="193" t="n">
        <f aca="false">2965D!D32</f>
        <v>0</v>
      </c>
      <c r="F47" s="194" t="n">
        <f aca="false">2965D!E32</f>
        <v>0</v>
      </c>
      <c r="G47" s="194" t="n">
        <f aca="false">2965D!F32</f>
        <v>0</v>
      </c>
      <c r="H47" s="195" t="str">
        <f aca="false">IF(2965D!G32="","",2965D!G32)</f>
        <v/>
      </c>
      <c r="I47" s="196" t="str">
        <f aca="false">IF(2965D!H32="","",2965D!H32)</f>
        <v/>
      </c>
      <c r="J47" s="197" t="str">
        <f aca="false">IF(2965D!I32="","",2965D!I32)</f>
        <v/>
      </c>
      <c r="K47" s="195" t="str">
        <f aca="false">IF(2965D!J32="","",2965D!J32)</f>
        <v/>
      </c>
      <c r="L47" s="197" t="str">
        <f aca="false">IF(2965D!K32="","",2965D!K32)</f>
        <v/>
      </c>
      <c r="M47" s="198" t="str">
        <f aca="false">IF(FORMATTED!K24=TRUE(),"ü","")</f>
        <v/>
      </c>
      <c r="N47" s="199" t="str">
        <f aca="false">IF(FORMATTED!L24=TRUE(),"ü","")</f>
        <v/>
      </c>
      <c r="O47" s="200" t="str">
        <f aca="false">IF(2965D!N32="","",2965D!N32)</f>
        <v/>
      </c>
      <c r="P47" s="195" t="str">
        <f aca="false">IF(2965D!P32="","",2965D!P32)</f>
        <v/>
      </c>
      <c r="Q47" s="196"/>
      <c r="R47" s="196"/>
      <c r="S47" s="196"/>
      <c r="T47" s="196"/>
      <c r="U47" s="196" t="str">
        <f aca="false">IF(2965D!Q32="","",2965D!Q32)</f>
        <v/>
      </c>
      <c r="V47" s="201" t="str">
        <f aca="false">IF(2965D!R32="","",2965D!R32)</f>
        <v/>
      </c>
      <c r="W47" s="202"/>
      <c r="X47" s="203" t="str">
        <f aca="false">IF(FORMATTED!H24=TRUE(),"ü","")</f>
        <v/>
      </c>
      <c r="Y47" s="248" t="str">
        <f aca="false">IFERROR(VLOOKUP(2965D!T32,Pilots[[SN Last 4]:[Pilot]],2,FALSE()),"")</f>
        <v/>
      </c>
      <c r="Z47" s="190" t="str">
        <f aca="false">IF(2965D!$G$5=B47,"Max",IF(2965D!$G$5=B46,"Launches",""))</f>
        <v/>
      </c>
    </row>
    <row r="48" customFormat="false" ht="24.75" hidden="false" customHeight="true" outlineLevel="0" collapsed="false">
      <c r="B48" s="191" t="n">
        <v>24</v>
      </c>
      <c r="C48" s="192" t="n">
        <f aca="false">2965D!B33</f>
        <v>0</v>
      </c>
      <c r="D48" s="192" t="n">
        <f aca="false">2965D!C33</f>
        <v>0</v>
      </c>
      <c r="E48" s="193" t="n">
        <f aca="false">2965D!D33</f>
        <v>0</v>
      </c>
      <c r="F48" s="194" t="n">
        <f aca="false">2965D!E33</f>
        <v>0</v>
      </c>
      <c r="G48" s="194" t="n">
        <f aca="false">2965D!F33</f>
        <v>0</v>
      </c>
      <c r="H48" s="195" t="str">
        <f aca="false">IF(2965D!G33="","",2965D!G33)</f>
        <v/>
      </c>
      <c r="I48" s="196" t="str">
        <f aca="false">IF(2965D!H33="","",2965D!H33)</f>
        <v/>
      </c>
      <c r="J48" s="197" t="str">
        <f aca="false">IF(2965D!I33="","",2965D!I33)</f>
        <v/>
      </c>
      <c r="K48" s="195" t="str">
        <f aca="false">IF(2965D!J33="","",2965D!J33)</f>
        <v/>
      </c>
      <c r="L48" s="197" t="str">
        <f aca="false">IF(2965D!K33="","",2965D!K33)</f>
        <v/>
      </c>
      <c r="M48" s="198" t="str">
        <f aca="false">IF(FORMATTED!K25=TRUE(),"ü","")</f>
        <v/>
      </c>
      <c r="N48" s="199" t="str">
        <f aca="false">IF(FORMATTED!L25=TRUE(),"ü","")</f>
        <v/>
      </c>
      <c r="O48" s="200" t="str">
        <f aca="false">IF(2965D!N33="","",2965D!N33)</f>
        <v/>
      </c>
      <c r="P48" s="195" t="str">
        <f aca="false">IF(2965D!P33="","",2965D!P33)</f>
        <v/>
      </c>
      <c r="Q48" s="196"/>
      <c r="R48" s="196"/>
      <c r="S48" s="196"/>
      <c r="T48" s="196"/>
      <c r="U48" s="196" t="str">
        <f aca="false">IF(2965D!Q33="","",2965D!Q33)</f>
        <v/>
      </c>
      <c r="V48" s="201" t="str">
        <f aca="false">IF(2965D!R33="","",2965D!R33)</f>
        <v/>
      </c>
      <c r="W48" s="202"/>
      <c r="X48" s="203" t="str">
        <f aca="false">IF(FORMATTED!H25=TRUE(),"ü","")</f>
        <v/>
      </c>
      <c r="Y48" s="248" t="str">
        <f aca="false">IFERROR(VLOOKUP(2965D!T33,Pilots[[SN Last 4]:[Pilot]],2,FALSE()),"")</f>
        <v/>
      </c>
      <c r="Z48" s="190" t="str">
        <f aca="false">IF(2965D!$G$5=B48,"Max",IF(2965D!$G$5=B47,"Launches",""))</f>
        <v/>
      </c>
    </row>
    <row r="49" customFormat="false" ht="24.75" hidden="false" customHeight="true" outlineLevel="0" collapsed="false">
      <c r="B49" s="191" t="n">
        <v>25</v>
      </c>
      <c r="C49" s="192" t="n">
        <f aca="false">2965D!B34</f>
        <v>0</v>
      </c>
      <c r="D49" s="192" t="n">
        <f aca="false">2965D!C34</f>
        <v>0</v>
      </c>
      <c r="E49" s="193" t="n">
        <f aca="false">2965D!D34</f>
        <v>0</v>
      </c>
      <c r="F49" s="194" t="n">
        <f aca="false">2965D!E34</f>
        <v>0</v>
      </c>
      <c r="G49" s="194" t="n">
        <f aca="false">2965D!F34</f>
        <v>0</v>
      </c>
      <c r="H49" s="195" t="str">
        <f aca="false">IF(2965D!G34="","",2965D!G34)</f>
        <v/>
      </c>
      <c r="I49" s="196" t="str">
        <f aca="false">IF(2965D!H34="","",2965D!H34)</f>
        <v/>
      </c>
      <c r="J49" s="197" t="str">
        <f aca="false">IF(2965D!I34="","",2965D!I34)</f>
        <v/>
      </c>
      <c r="K49" s="195" t="str">
        <f aca="false">IF(2965D!J34="","",2965D!J34)</f>
        <v/>
      </c>
      <c r="L49" s="197" t="str">
        <f aca="false">IF(2965D!K34="","",2965D!K34)</f>
        <v/>
      </c>
      <c r="M49" s="198" t="str">
        <f aca="false">IF(FORMATTED!K26=TRUE(),"ü","")</f>
        <v/>
      </c>
      <c r="N49" s="199" t="str">
        <f aca="false">IF(FORMATTED!L26=TRUE(),"ü","")</f>
        <v/>
      </c>
      <c r="O49" s="200" t="str">
        <f aca="false">IF(2965D!N34="","",2965D!N34)</f>
        <v/>
      </c>
      <c r="P49" s="195" t="str">
        <f aca="false">IF(2965D!P34="","",2965D!P34)</f>
        <v/>
      </c>
      <c r="Q49" s="196"/>
      <c r="R49" s="196"/>
      <c r="S49" s="196"/>
      <c r="T49" s="196"/>
      <c r="U49" s="196" t="str">
        <f aca="false">IF(2965D!Q34="","",2965D!Q34)</f>
        <v/>
      </c>
      <c r="V49" s="201" t="str">
        <f aca="false">IF(2965D!R34="","",2965D!R34)</f>
        <v/>
      </c>
      <c r="W49" s="202"/>
      <c r="X49" s="203" t="str">
        <f aca="false">IF(FORMATTED!H26=TRUE(),"ü","")</f>
        <v/>
      </c>
      <c r="Y49" s="248" t="str">
        <f aca="false">IFERROR(VLOOKUP(2965D!T34,Pilots[[SN Last 4]:[Pilot]],2,FALSE()),"")</f>
        <v/>
      </c>
      <c r="Z49" s="190" t="str">
        <f aca="false">IF(2965D!$G$5=B49,"Max",IF(2965D!$G$5=B48,"Launches",""))</f>
        <v/>
      </c>
    </row>
    <row r="50" customFormat="false" ht="24.75" hidden="false" customHeight="true" outlineLevel="0" collapsed="false">
      <c r="B50" s="191" t="n">
        <v>26</v>
      </c>
      <c r="C50" s="192" t="n">
        <f aca="false">2965D!B35</f>
        <v>0</v>
      </c>
      <c r="D50" s="192" t="n">
        <f aca="false">2965D!C35</f>
        <v>0</v>
      </c>
      <c r="E50" s="193" t="n">
        <f aca="false">2965D!D35</f>
        <v>0</v>
      </c>
      <c r="F50" s="194" t="n">
        <f aca="false">2965D!E35</f>
        <v>0</v>
      </c>
      <c r="G50" s="194" t="n">
        <f aca="false">2965D!F35</f>
        <v>0</v>
      </c>
      <c r="H50" s="195" t="str">
        <f aca="false">IF(2965D!G35="","",2965D!G35)</f>
        <v/>
      </c>
      <c r="I50" s="196" t="str">
        <f aca="false">IF(2965D!H35="","",2965D!H35)</f>
        <v/>
      </c>
      <c r="J50" s="197" t="str">
        <f aca="false">IF(2965D!I35="","",2965D!I35)</f>
        <v/>
      </c>
      <c r="K50" s="195" t="str">
        <f aca="false">IF(2965D!J35="","",2965D!J35)</f>
        <v/>
      </c>
      <c r="L50" s="197" t="str">
        <f aca="false">IF(2965D!K35="","",2965D!K35)</f>
        <v/>
      </c>
      <c r="M50" s="198" t="str">
        <f aca="false">IF(FORMATTED!K27=TRUE(),"ü","")</f>
        <v/>
      </c>
      <c r="N50" s="199" t="str">
        <f aca="false">IF(FORMATTED!L27=TRUE(),"ü","")</f>
        <v/>
      </c>
      <c r="O50" s="200" t="str">
        <f aca="false">IF(2965D!N35="","",2965D!N35)</f>
        <v/>
      </c>
      <c r="P50" s="195" t="str">
        <f aca="false">IF(2965D!P35="","",2965D!P35)</f>
        <v/>
      </c>
      <c r="Q50" s="196"/>
      <c r="R50" s="196"/>
      <c r="S50" s="196"/>
      <c r="T50" s="196"/>
      <c r="U50" s="196" t="str">
        <f aca="false">IF(2965D!Q35="","",2965D!Q35)</f>
        <v/>
      </c>
      <c r="V50" s="201" t="str">
        <f aca="false">IF(2965D!R35="","",2965D!R35)</f>
        <v/>
      </c>
      <c r="W50" s="202"/>
      <c r="X50" s="203" t="str">
        <f aca="false">IF(FORMATTED!H27=TRUE(),"ü","")</f>
        <v/>
      </c>
      <c r="Y50" s="248" t="str">
        <f aca="false">IFERROR(VLOOKUP(2965D!T35,Pilots[[SN Last 4]:[Pilot]],2,FALSE()),"")</f>
        <v/>
      </c>
      <c r="Z50" s="190" t="str">
        <f aca="false">IF(2965D!$G$5=B50,"Max",IF(2965D!$G$5=B49,"Launches",""))</f>
        <v/>
      </c>
    </row>
    <row r="51" customFormat="false" ht="24.75" hidden="false" customHeight="true" outlineLevel="0" collapsed="false">
      <c r="B51" s="191" t="n">
        <v>27</v>
      </c>
      <c r="C51" s="192" t="n">
        <f aca="false">2965D!B36</f>
        <v>0</v>
      </c>
      <c r="D51" s="192" t="n">
        <f aca="false">2965D!C36</f>
        <v>0</v>
      </c>
      <c r="E51" s="193" t="n">
        <f aca="false">2965D!D36</f>
        <v>0</v>
      </c>
      <c r="F51" s="194" t="n">
        <f aca="false">2965D!E36</f>
        <v>0</v>
      </c>
      <c r="G51" s="194" t="n">
        <f aca="false">2965D!F36</f>
        <v>0</v>
      </c>
      <c r="H51" s="195" t="str">
        <f aca="false">IF(2965D!G36="","",2965D!G36)</f>
        <v/>
      </c>
      <c r="I51" s="196" t="str">
        <f aca="false">IF(2965D!H36="","",2965D!H36)</f>
        <v/>
      </c>
      <c r="J51" s="197" t="str">
        <f aca="false">IF(2965D!I36="","",2965D!I36)</f>
        <v/>
      </c>
      <c r="K51" s="195" t="str">
        <f aca="false">IF(2965D!J36="","",2965D!J36)</f>
        <v/>
      </c>
      <c r="L51" s="197" t="str">
        <f aca="false">IF(2965D!K36="","",2965D!K36)</f>
        <v/>
      </c>
      <c r="M51" s="198" t="str">
        <f aca="false">IF(FORMATTED!K28=TRUE(),"ü","")</f>
        <v/>
      </c>
      <c r="N51" s="199" t="str">
        <f aca="false">IF(FORMATTED!L28=TRUE(),"ü","")</f>
        <v/>
      </c>
      <c r="O51" s="200" t="str">
        <f aca="false">IF(2965D!N36="","",2965D!N36)</f>
        <v/>
      </c>
      <c r="P51" s="195" t="str">
        <f aca="false">IF(2965D!P36="","",2965D!P36)</f>
        <v/>
      </c>
      <c r="Q51" s="196"/>
      <c r="R51" s="196"/>
      <c r="S51" s="196"/>
      <c r="T51" s="196"/>
      <c r="U51" s="196" t="str">
        <f aca="false">IF(2965D!Q36="","",2965D!Q36)</f>
        <v/>
      </c>
      <c r="V51" s="201" t="str">
        <f aca="false">IF(2965D!R36="","",2965D!R36)</f>
        <v/>
      </c>
      <c r="W51" s="202"/>
      <c r="X51" s="203" t="str">
        <f aca="false">IF(FORMATTED!H28=TRUE(),"ü","")</f>
        <v/>
      </c>
      <c r="Y51" s="248" t="str">
        <f aca="false">IFERROR(VLOOKUP(2965D!T36,Pilots[[SN Last 4]:[Pilot]],2,FALSE()),"")</f>
        <v/>
      </c>
      <c r="Z51" s="190" t="str">
        <f aca="false">IF(2965D!$G$5=B51,"Max",IF(2965D!$G$5=B50,"Launches",""))</f>
        <v/>
      </c>
    </row>
    <row r="52" customFormat="false" ht="24.75" hidden="false" customHeight="true" outlineLevel="0" collapsed="false">
      <c r="B52" s="191" t="n">
        <v>28</v>
      </c>
      <c r="C52" s="192" t="n">
        <f aca="false">2965D!B37</f>
        <v>0</v>
      </c>
      <c r="D52" s="192" t="n">
        <f aca="false">2965D!C37</f>
        <v>0</v>
      </c>
      <c r="E52" s="193" t="n">
        <f aca="false">2965D!D37</f>
        <v>0</v>
      </c>
      <c r="F52" s="194" t="n">
        <f aca="false">2965D!E37</f>
        <v>0</v>
      </c>
      <c r="G52" s="194" t="n">
        <f aca="false">2965D!F37</f>
        <v>0</v>
      </c>
      <c r="H52" s="195" t="str">
        <f aca="false">IF(2965D!G37="","",2965D!G37)</f>
        <v/>
      </c>
      <c r="I52" s="196" t="str">
        <f aca="false">IF(2965D!H37="","",2965D!H37)</f>
        <v/>
      </c>
      <c r="J52" s="197" t="str">
        <f aca="false">IF(2965D!I37="","",2965D!I37)</f>
        <v/>
      </c>
      <c r="K52" s="195" t="str">
        <f aca="false">IF(2965D!J37="","",2965D!J37)</f>
        <v/>
      </c>
      <c r="L52" s="197" t="str">
        <f aca="false">IF(2965D!K37="","",2965D!K37)</f>
        <v/>
      </c>
      <c r="M52" s="198" t="str">
        <f aca="false">IF(FORMATTED!K29=TRUE(),"ü","")</f>
        <v/>
      </c>
      <c r="N52" s="199" t="str">
        <f aca="false">IF(FORMATTED!L29=TRUE(),"ü","")</f>
        <v/>
      </c>
      <c r="O52" s="200" t="str">
        <f aca="false">IF(2965D!N37="","",2965D!N37)</f>
        <v/>
      </c>
      <c r="P52" s="195" t="str">
        <f aca="false">IF(2965D!P37="","",2965D!P37)</f>
        <v/>
      </c>
      <c r="Q52" s="196"/>
      <c r="R52" s="196"/>
      <c r="S52" s="196"/>
      <c r="T52" s="196"/>
      <c r="U52" s="196" t="str">
        <f aca="false">IF(2965D!Q37="","",2965D!Q37)</f>
        <v/>
      </c>
      <c r="V52" s="201" t="str">
        <f aca="false">IF(2965D!R37="","",2965D!R37)</f>
        <v/>
      </c>
      <c r="W52" s="202"/>
      <c r="X52" s="203" t="str">
        <f aca="false">IF(FORMATTED!H29=TRUE(),"ü","")</f>
        <v/>
      </c>
      <c r="Y52" s="248" t="str">
        <f aca="false">IFERROR(VLOOKUP(2965D!T37,Pilots[[SN Last 4]:[Pilot]],2,FALSE()),"")</f>
        <v/>
      </c>
      <c r="Z52" s="190" t="str">
        <f aca="false">IF(2965D!$G$5=B52,"Max",IF(2965D!$G$5=B51,"Launches",""))</f>
        <v/>
      </c>
    </row>
    <row r="53" customFormat="false" ht="24.75" hidden="false" customHeight="true" outlineLevel="0" collapsed="false">
      <c r="B53" s="191" t="n">
        <v>29</v>
      </c>
      <c r="C53" s="192" t="n">
        <f aca="false">2965D!B38</f>
        <v>0</v>
      </c>
      <c r="D53" s="192" t="n">
        <f aca="false">2965D!C38</f>
        <v>0</v>
      </c>
      <c r="E53" s="193" t="n">
        <f aca="false">2965D!D38</f>
        <v>0</v>
      </c>
      <c r="F53" s="194" t="n">
        <f aca="false">2965D!E38</f>
        <v>0</v>
      </c>
      <c r="G53" s="194" t="n">
        <f aca="false">2965D!F38</f>
        <v>0</v>
      </c>
      <c r="H53" s="195" t="str">
        <f aca="false">IF(2965D!G38="","",2965D!G38)</f>
        <v/>
      </c>
      <c r="I53" s="196" t="str">
        <f aca="false">IF(2965D!H38="","",2965D!H38)</f>
        <v/>
      </c>
      <c r="J53" s="197" t="str">
        <f aca="false">IF(2965D!I38="","",2965D!I38)</f>
        <v/>
      </c>
      <c r="K53" s="195" t="str">
        <f aca="false">IF(2965D!J38="","",2965D!J38)</f>
        <v/>
      </c>
      <c r="L53" s="197" t="str">
        <f aca="false">IF(2965D!K38="","",2965D!K38)</f>
        <v/>
      </c>
      <c r="M53" s="198" t="str">
        <f aca="false">IF(FORMATTED!K30=TRUE(),"ü","")</f>
        <v/>
      </c>
      <c r="N53" s="199" t="str">
        <f aca="false">IF(FORMATTED!L30=TRUE(),"ü","")</f>
        <v/>
      </c>
      <c r="O53" s="200" t="str">
        <f aca="false">IF(2965D!N38="","",2965D!N38)</f>
        <v/>
      </c>
      <c r="P53" s="195" t="str">
        <f aca="false">IF(2965D!P38="","",2965D!P38)</f>
        <v/>
      </c>
      <c r="Q53" s="196"/>
      <c r="R53" s="196"/>
      <c r="S53" s="196"/>
      <c r="T53" s="196"/>
      <c r="U53" s="196" t="str">
        <f aca="false">IF(2965D!Q38="","",2965D!Q38)</f>
        <v/>
      </c>
      <c r="V53" s="201" t="str">
        <f aca="false">IF(2965D!R38="","",2965D!R38)</f>
        <v/>
      </c>
      <c r="W53" s="202"/>
      <c r="X53" s="203" t="str">
        <f aca="false">IF(FORMATTED!H30=TRUE(),"ü","")</f>
        <v/>
      </c>
      <c r="Y53" s="248" t="str">
        <f aca="false">IFERROR(VLOOKUP(2965D!T38,Pilots[[SN Last 4]:[Pilot]],2,FALSE()),"")</f>
        <v/>
      </c>
      <c r="Z53" s="190" t="str">
        <f aca="false">IF(2965D!$G$5=B53,"Max",IF(2965D!$G$5=B52,"Launches",""))</f>
        <v/>
      </c>
    </row>
    <row r="54" customFormat="false" ht="24.75" hidden="false" customHeight="true" outlineLevel="0" collapsed="false">
      <c r="B54" s="191" t="n">
        <v>30</v>
      </c>
      <c r="C54" s="192" t="n">
        <f aca="false">2965D!B39</f>
        <v>0</v>
      </c>
      <c r="D54" s="192" t="n">
        <f aca="false">2965D!C39</f>
        <v>0</v>
      </c>
      <c r="E54" s="193" t="n">
        <f aca="false">2965D!D39</f>
        <v>0</v>
      </c>
      <c r="F54" s="194" t="n">
        <f aca="false">2965D!E39</f>
        <v>0</v>
      </c>
      <c r="G54" s="194" t="n">
        <f aca="false">2965D!F39</f>
        <v>0</v>
      </c>
      <c r="H54" s="195" t="str">
        <f aca="false">IF(2965D!G39="","",2965D!G39)</f>
        <v/>
      </c>
      <c r="I54" s="196" t="str">
        <f aca="false">IF(2965D!H39="","",2965D!H39)</f>
        <v/>
      </c>
      <c r="J54" s="197" t="str">
        <f aca="false">IF(2965D!I39="","",2965D!I39)</f>
        <v/>
      </c>
      <c r="K54" s="195" t="str">
        <f aca="false">IF(2965D!J39="","",2965D!J39)</f>
        <v/>
      </c>
      <c r="L54" s="197" t="str">
        <f aca="false">IF(2965D!K39="","",2965D!K39)</f>
        <v/>
      </c>
      <c r="M54" s="198" t="str">
        <f aca="false">IF(FORMATTED!K31=TRUE(),"ü","")</f>
        <v/>
      </c>
      <c r="N54" s="199" t="str">
        <f aca="false">IF(FORMATTED!L31=TRUE(),"ü","")</f>
        <v/>
      </c>
      <c r="O54" s="200" t="str">
        <f aca="false">IF(2965D!N39="","",2965D!N39)</f>
        <v/>
      </c>
      <c r="P54" s="195" t="str">
        <f aca="false">IF(2965D!P39="","",2965D!P39)</f>
        <v/>
      </c>
      <c r="Q54" s="196"/>
      <c r="R54" s="196"/>
      <c r="S54" s="196"/>
      <c r="T54" s="196"/>
      <c r="U54" s="196" t="str">
        <f aca="false">IF(2965D!Q39="","",2965D!Q39)</f>
        <v/>
      </c>
      <c r="V54" s="201" t="str">
        <f aca="false">IF(2965D!R39="","",2965D!R39)</f>
        <v/>
      </c>
      <c r="W54" s="202"/>
      <c r="X54" s="203" t="str">
        <f aca="false">IF(FORMATTED!H31=TRUE(),"ü","")</f>
        <v/>
      </c>
      <c r="Y54" s="248" t="str">
        <f aca="false">IFERROR(VLOOKUP(2965D!T39,Pilots[[SN Last 4]:[Pilot]],2,FALSE()),"")</f>
        <v/>
      </c>
      <c r="Z54" s="190" t="str">
        <f aca="false">IF(2965D!$G$5=B54,"Max",IF(2965D!$G$5=B53,"Launches",""))</f>
        <v/>
      </c>
    </row>
    <row r="55" customFormat="false" ht="24.75" hidden="false" customHeight="true" outlineLevel="0" collapsed="false">
      <c r="B55" s="191" t="n">
        <v>31</v>
      </c>
      <c r="C55" s="192" t="n">
        <f aca="false">2965D!B40</f>
        <v>0</v>
      </c>
      <c r="D55" s="192" t="n">
        <f aca="false">2965D!C40</f>
        <v>0</v>
      </c>
      <c r="E55" s="193" t="n">
        <f aca="false">2965D!D40</f>
        <v>0</v>
      </c>
      <c r="F55" s="194" t="n">
        <f aca="false">2965D!E40</f>
        <v>0</v>
      </c>
      <c r="G55" s="194" t="n">
        <f aca="false">2965D!F40</f>
        <v>0</v>
      </c>
      <c r="H55" s="195" t="str">
        <f aca="false">IF(2965D!G40="","",2965D!G40)</f>
        <v/>
      </c>
      <c r="I55" s="196" t="str">
        <f aca="false">IF(2965D!H40="","",2965D!H40)</f>
        <v/>
      </c>
      <c r="J55" s="197" t="str">
        <f aca="false">IF(2965D!I40="","",2965D!I40)</f>
        <v/>
      </c>
      <c r="K55" s="195" t="str">
        <f aca="false">IF(2965D!J40="","",2965D!J40)</f>
        <v/>
      </c>
      <c r="L55" s="197" t="str">
        <f aca="false">IF(2965D!K40="","",2965D!K40)</f>
        <v/>
      </c>
      <c r="M55" s="198" t="str">
        <f aca="false">IF(FORMATTED!K32=TRUE(),"ü","")</f>
        <v/>
      </c>
      <c r="N55" s="199" t="str">
        <f aca="false">IF(FORMATTED!L32=TRUE(),"ü","")</f>
        <v/>
      </c>
      <c r="O55" s="200" t="str">
        <f aca="false">IF(2965D!N40="","",2965D!N40)</f>
        <v/>
      </c>
      <c r="P55" s="195" t="str">
        <f aca="false">IF(2965D!P40="","",2965D!P40)</f>
        <v/>
      </c>
      <c r="Q55" s="196"/>
      <c r="R55" s="196"/>
      <c r="S55" s="196"/>
      <c r="T55" s="196"/>
      <c r="U55" s="196" t="str">
        <f aca="false">IF(2965D!Q40="","",2965D!Q40)</f>
        <v/>
      </c>
      <c r="V55" s="201" t="str">
        <f aca="false">IF(2965D!R40="","",2965D!R40)</f>
        <v/>
      </c>
      <c r="W55" s="202"/>
      <c r="X55" s="203" t="str">
        <f aca="false">IF(FORMATTED!H32=TRUE(),"ü","")</f>
        <v/>
      </c>
      <c r="Y55" s="248" t="str">
        <f aca="false">IFERROR(VLOOKUP(2965D!T40,Pilots[[SN Last 4]:[Pilot]],2,FALSE()),"")</f>
        <v/>
      </c>
      <c r="Z55" s="190" t="str">
        <f aca="false">IF(2965D!$G$5=B55,"Max",IF(2965D!$G$5=B54,"Launches",""))</f>
        <v/>
      </c>
    </row>
    <row r="56" customFormat="false" ht="24.75" hidden="false" customHeight="true" outlineLevel="0" collapsed="false">
      <c r="B56" s="191" t="n">
        <v>32</v>
      </c>
      <c r="C56" s="192" t="n">
        <f aca="false">2965D!B41</f>
        <v>0</v>
      </c>
      <c r="D56" s="192" t="n">
        <f aca="false">2965D!C41</f>
        <v>0</v>
      </c>
      <c r="E56" s="193" t="n">
        <f aca="false">2965D!D41</f>
        <v>0</v>
      </c>
      <c r="F56" s="194" t="n">
        <f aca="false">2965D!E41</f>
        <v>0</v>
      </c>
      <c r="G56" s="194" t="n">
        <f aca="false">2965D!F41</f>
        <v>0</v>
      </c>
      <c r="H56" s="195" t="str">
        <f aca="false">IF(2965D!G41="","",2965D!G41)</f>
        <v/>
      </c>
      <c r="I56" s="196" t="str">
        <f aca="false">IF(2965D!H41="","",2965D!H41)</f>
        <v/>
      </c>
      <c r="J56" s="197" t="str">
        <f aca="false">IF(2965D!I41="","",2965D!I41)</f>
        <v/>
      </c>
      <c r="K56" s="195" t="str">
        <f aca="false">IF(2965D!J41="","",2965D!J41)</f>
        <v/>
      </c>
      <c r="L56" s="197" t="str">
        <f aca="false">IF(2965D!K41="","",2965D!K41)</f>
        <v/>
      </c>
      <c r="M56" s="198" t="str">
        <f aca="false">IF(FORMATTED!K33=TRUE(),"ü","")</f>
        <v/>
      </c>
      <c r="N56" s="199" t="str">
        <f aca="false">IF(FORMATTED!L33=TRUE(),"ü","")</f>
        <v/>
      </c>
      <c r="O56" s="200" t="str">
        <f aca="false">IF(2965D!N41="","",2965D!N41)</f>
        <v/>
      </c>
      <c r="P56" s="195" t="str">
        <f aca="false">IF(2965D!P41="","",2965D!P41)</f>
        <v/>
      </c>
      <c r="Q56" s="196"/>
      <c r="R56" s="196"/>
      <c r="S56" s="196"/>
      <c r="T56" s="196"/>
      <c r="U56" s="196" t="str">
        <f aca="false">IF(2965D!Q41="","",2965D!Q41)</f>
        <v/>
      </c>
      <c r="V56" s="201" t="str">
        <f aca="false">IF(2965D!R41="","",2965D!R41)</f>
        <v/>
      </c>
      <c r="W56" s="202"/>
      <c r="X56" s="203" t="str">
        <f aca="false">IF(FORMATTED!H33=TRUE(),"ü","")</f>
        <v/>
      </c>
      <c r="Y56" s="248" t="str">
        <f aca="false">IFERROR(VLOOKUP(2965D!T41,Pilots[[SN Last 4]:[Pilot]],2,FALSE()),"")</f>
        <v/>
      </c>
      <c r="Z56" s="190" t="str">
        <f aca="false">IF(2965D!$G$5=B56,"Max",IF(2965D!$G$5=B55,"Launches",""))</f>
        <v/>
      </c>
    </row>
    <row r="57" customFormat="false" ht="24.75" hidden="false" customHeight="true" outlineLevel="0" collapsed="false">
      <c r="C57" s="249"/>
      <c r="D57" s="249"/>
      <c r="E57" s="1"/>
      <c r="F57" s="250" t="s">
        <v>47</v>
      </c>
      <c r="G57" s="250"/>
      <c r="H57" s="115" t="n">
        <f aca="false">SUM(H45:H56)+H43</f>
        <v>0.0222222222222222</v>
      </c>
      <c r="I57" s="251" t="n">
        <f aca="false">SUM(I45:I56)+I43</f>
        <v>0</v>
      </c>
      <c r="J57" s="251" t="n">
        <f aca="false">SUM(J45:J56)+J43</f>
        <v>0.0131944444444444</v>
      </c>
      <c r="K57" s="251" t="n">
        <f aca="false">SUM(K45:K56)+K43</f>
        <v>0.00347222222222222</v>
      </c>
      <c r="L57" s="117" t="n">
        <f aca="false">SUM(L45:L56)+L43</f>
        <v>0.00347222222222222</v>
      </c>
      <c r="M57" s="210"/>
      <c r="N57" s="210"/>
      <c r="O57" s="252" t="n">
        <f aca="false">SUM(O45:O56)+O43</f>
        <v>0.00277777777777778</v>
      </c>
      <c r="P57" s="115" t="n">
        <f aca="false">SUM(P45:P56)+P43</f>
        <v>0.0354166666666667</v>
      </c>
      <c r="Q57" s="251"/>
      <c r="R57" s="251"/>
      <c r="S57" s="251"/>
      <c r="T57" s="251"/>
      <c r="U57" s="251" t="n">
        <f aca="false">SUM(U45:U56)+U43</f>
        <v>0.00555555555555556</v>
      </c>
      <c r="V57" s="117" t="n">
        <f aca="false">SUM(V45:V56)+V43</f>
        <v>0.00416666666666667</v>
      </c>
      <c r="W57" s="1"/>
      <c r="X57" s="1"/>
      <c r="Y57" s="1"/>
      <c r="Z57" s="190" t="str">
        <f aca="false">IF(2965D!$G$5=B56,"Launches","")</f>
        <v/>
      </c>
    </row>
    <row r="58" customFormat="false" ht="24.75" hidden="false" customHeight="true" outlineLevel="0" collapsed="false">
      <c r="B58" s="249"/>
      <c r="C58" s="249"/>
      <c r="D58" s="249"/>
      <c r="E58" s="1"/>
      <c r="F58" s="253" t="s">
        <v>48</v>
      </c>
      <c r="G58" s="253"/>
      <c r="H58" s="119" t="n">
        <f aca="false">IF(H44="","",H44+(12-COUNTBLANK(H45:H56)))</f>
        <v>6</v>
      </c>
      <c r="I58" s="214" t="n">
        <f aca="false">IF(I44="","",I44+(12-COUNTBLANK(I45:I56)))</f>
        <v>0</v>
      </c>
      <c r="J58" s="214" t="n">
        <f aca="false">IF(J44="","",J44+(12-COUNTBLANK(J45:J56)))</f>
        <v>4</v>
      </c>
      <c r="K58" s="214" t="n">
        <f aca="false">IF(K44="","",K44+(12-COUNTBLANK(K45:K56)))</f>
        <v>1</v>
      </c>
      <c r="L58" s="122" t="n">
        <f aca="false">IF(L44="","",L44+(12-COUNTBLANK(L45:L56)))</f>
        <v>1</v>
      </c>
      <c r="M58" s="254" t="str">
        <f aca="false">IF(M44="","",M44+(12-COUNTBLANK(M45:M56)))</f>
        <v/>
      </c>
      <c r="N58" s="254" t="str">
        <f aca="false">IF(N44="","",N44+(12-COUNTBLANK(N45:N56)))</f>
        <v/>
      </c>
      <c r="O58" s="255" t="n">
        <f aca="false">IF(O44="","",O44+(12-COUNTBLANK(O45:O56)))</f>
        <v>1</v>
      </c>
      <c r="P58" s="119" t="n">
        <f aca="false">IF(P44="","",P44+12-COUNTBLANK(P$45:P$56))</f>
        <v>11</v>
      </c>
      <c r="Q58" s="214" t="str">
        <f aca="false">IF(Q44="","",Q44+12-COUNTBLANK(Q$45:Q$56))</f>
        <v/>
      </c>
      <c r="R58" s="214" t="str">
        <f aca="false">IF(R44="","",R44+12-COUNTBLANK(R$45:R$56))</f>
        <v/>
      </c>
      <c r="S58" s="214" t="str">
        <f aca="false">IF(S44="","",S44+12-COUNTBLANK(S$45:S$56))</f>
        <v/>
      </c>
      <c r="T58" s="214" t="str">
        <f aca="false">IF(T44="","",T44+12-COUNTBLANK(T$45:T$56))</f>
        <v/>
      </c>
      <c r="U58" s="214" t="n">
        <f aca="false">IF(U44="","",U44+12-COUNTBLANK(U$45:U$56))</f>
        <v>1</v>
      </c>
      <c r="V58" s="122" t="n">
        <f aca="false">IF(V44="","",V44+12-COUNTBLANK(V$45:V$56))</f>
        <v>1</v>
      </c>
      <c r="W58" s="1"/>
      <c r="X58" s="1"/>
      <c r="Y58" s="1"/>
    </row>
    <row r="59" customFormat="false" ht="24.75" hidden="false" customHeight="true" outlineLevel="0" collapsed="false">
      <c r="C59" s="249"/>
      <c r="D59" s="249"/>
      <c r="E59" s="1"/>
      <c r="F59" s="1"/>
      <c r="G59" s="1"/>
      <c r="H59" s="1"/>
      <c r="I59" s="1"/>
      <c r="J59" s="1"/>
      <c r="K59" s="1"/>
      <c r="L59" s="1"/>
      <c r="M59" s="1"/>
      <c r="N59" s="1"/>
      <c r="O59" s="1"/>
      <c r="P59" s="1"/>
      <c r="Q59" s="1"/>
      <c r="R59" s="1"/>
      <c r="S59" s="1"/>
      <c r="T59" s="1"/>
      <c r="U59" s="1"/>
      <c r="V59" s="1"/>
      <c r="W59" s="1"/>
      <c r="X59" s="1"/>
      <c r="Y59" s="1"/>
    </row>
    <row r="60" customFormat="false" ht="24.75" hidden="false" customHeight="true" outlineLevel="0" collapsed="false">
      <c r="B60" s="249"/>
      <c r="C60" s="249"/>
      <c r="D60" s="249"/>
      <c r="E60" s="1"/>
      <c r="F60" s="1"/>
      <c r="G60" s="1"/>
      <c r="H60" s="256" t="s">
        <v>47</v>
      </c>
      <c r="I60" s="256"/>
      <c r="J60" s="256"/>
      <c r="K60" s="256"/>
      <c r="L60" s="256"/>
      <c r="M60" s="256"/>
      <c r="N60" s="211" t="n">
        <f aca="false">IF(SUM(P57:V57)=0, "", SUM(P57:V57))</f>
        <v>0.0451388888888889</v>
      </c>
      <c r="O60" s="211"/>
      <c r="P60" s="257" t="s">
        <v>48</v>
      </c>
      <c r="Q60" s="257"/>
      <c r="R60" s="257"/>
      <c r="S60" s="257"/>
      <c r="T60" s="257"/>
      <c r="U60" s="257"/>
      <c r="V60" s="258" t="n">
        <f aca="false">IF(SUM(P58:V58)=0, "", SUM(P58:V58))</f>
        <v>13</v>
      </c>
      <c r="W60" s="258"/>
      <c r="X60" s="1"/>
      <c r="Y60" s="1"/>
    </row>
    <row r="61" customFormat="false" ht="24.75" hidden="false" customHeight="true" outlineLevel="0" collapsed="false">
      <c r="C61" s="249"/>
      <c r="D61" s="249"/>
      <c r="E61" s="1"/>
      <c r="F61" s="1"/>
      <c r="G61" s="1"/>
      <c r="H61" s="259" t="s">
        <v>79</v>
      </c>
      <c r="I61" s="259"/>
      <c r="J61" s="259"/>
      <c r="K61" s="259"/>
      <c r="L61" s="259"/>
      <c r="M61" s="259"/>
      <c r="N61" s="260" t="n">
        <f aca="false">IF(ISBLANK(2965D!C4), "", 2965D!C4)</f>
        <v>119.907638888889</v>
      </c>
      <c r="O61" s="260"/>
      <c r="P61" s="261" t="s">
        <v>80</v>
      </c>
      <c r="Q61" s="261"/>
      <c r="R61" s="261"/>
      <c r="S61" s="261"/>
      <c r="T61" s="261"/>
      <c r="U61" s="261"/>
      <c r="V61" s="262" t="n">
        <f aca="false">IF(ISBLANK(2965D!C5), "", 2965D!C5)</f>
        <v>22503</v>
      </c>
      <c r="W61" s="262"/>
      <c r="X61" s="1"/>
      <c r="Y61" s="1"/>
    </row>
    <row r="62" customFormat="false" ht="24.75" hidden="false" customHeight="true" outlineLevel="0" collapsed="false">
      <c r="B62" s="204" t="s">
        <v>75</v>
      </c>
      <c r="C62" s="204"/>
      <c r="D62" s="204"/>
      <c r="E62" s="1"/>
      <c r="F62" s="1"/>
      <c r="G62" s="1"/>
      <c r="H62" s="256" t="s">
        <v>81</v>
      </c>
      <c r="I62" s="256"/>
      <c r="J62" s="256"/>
      <c r="K62" s="256"/>
      <c r="L62" s="256"/>
      <c r="M62" s="256"/>
      <c r="N62" s="211" t="n">
        <f aca="false">IF(SUM(N60:N61)=0,"",SUM(N60:N61))</f>
        <v>119.952777777778</v>
      </c>
      <c r="O62" s="211"/>
      <c r="P62" s="257" t="s">
        <v>82</v>
      </c>
      <c r="Q62" s="257"/>
      <c r="R62" s="257"/>
      <c r="S62" s="257"/>
      <c r="T62" s="257"/>
      <c r="U62" s="257"/>
      <c r="V62" s="258" t="n">
        <f aca="false">IF(SUM(V60:V61)=0, "", SUM(V60:V61))</f>
        <v>22516</v>
      </c>
      <c r="W62" s="258"/>
      <c r="X62" s="1"/>
      <c r="Y62" s="1"/>
    </row>
    <row r="63" customFormat="false" ht="24.75" hidden="false" customHeight="true" outlineLevel="0" collapsed="false">
      <c r="B63" s="204"/>
      <c r="C63" s="204"/>
      <c r="D63" s="204"/>
      <c r="E63" s="1"/>
      <c r="F63" s="1"/>
      <c r="G63" s="1"/>
      <c r="H63" s="263"/>
      <c r="I63" s="263"/>
      <c r="J63" s="263"/>
      <c r="K63" s="263"/>
      <c r="L63" s="263"/>
      <c r="M63" s="263"/>
      <c r="N63" s="54"/>
      <c r="O63" s="54"/>
      <c r="P63" s="263"/>
      <c r="Q63" s="263"/>
      <c r="R63" s="263"/>
      <c r="S63" s="263"/>
      <c r="T63" s="263"/>
      <c r="U63" s="263"/>
      <c r="V63" s="54"/>
      <c r="W63" s="54"/>
      <c r="X63" s="1"/>
      <c r="Y63" s="1"/>
    </row>
    <row r="64" customFormat="false" ht="24.75" hidden="false" customHeight="true" outlineLevel="0" collapsed="false">
      <c r="B64" s="204"/>
      <c r="C64" s="204"/>
      <c r="D64" s="204"/>
      <c r="E64" s="1"/>
      <c r="F64" s="1"/>
      <c r="G64" s="1"/>
      <c r="H64" s="263"/>
      <c r="I64" s="263"/>
      <c r="J64" s="263"/>
      <c r="K64" s="263"/>
      <c r="L64" s="263"/>
      <c r="M64" s="263"/>
      <c r="N64" s="54"/>
      <c r="O64" s="54"/>
      <c r="P64" s="263"/>
      <c r="Q64" s="263"/>
      <c r="R64" s="263"/>
      <c r="S64" s="263"/>
      <c r="T64" s="263"/>
      <c r="U64" s="263"/>
      <c r="V64" s="54"/>
      <c r="W64" s="54"/>
      <c r="X64" s="1"/>
      <c r="Y64" s="1"/>
    </row>
    <row r="65" customFormat="false" ht="24.75" hidden="false" customHeight="true" outlineLevel="0" collapsed="false">
      <c r="B65" s="204"/>
      <c r="C65" s="204"/>
      <c r="D65" s="204"/>
      <c r="E65" s="1"/>
      <c r="F65" s="1"/>
      <c r="G65" s="1"/>
      <c r="H65" s="264" t="s">
        <v>83</v>
      </c>
      <c r="I65" s="264"/>
      <c r="J65" s="264"/>
      <c r="K65" s="264"/>
      <c r="L65" s="264"/>
      <c r="M65" s="264"/>
      <c r="N65" s="264"/>
      <c r="O65" s="264"/>
      <c r="P65" s="264"/>
      <c r="Q65" s="264"/>
      <c r="R65" s="264"/>
      <c r="S65" s="264"/>
      <c r="T65" s="264"/>
      <c r="U65" s="264"/>
      <c r="V65" s="264"/>
      <c r="W65" s="264"/>
      <c r="X65" s="1"/>
      <c r="Y65" s="1"/>
    </row>
    <row r="66" customFormat="false" ht="24.75" hidden="false" customHeight="true" outlineLevel="0" collapsed="false">
      <c r="B66" s="204"/>
      <c r="C66" s="204"/>
      <c r="D66" s="204"/>
      <c r="E66" s="1"/>
      <c r="F66" s="1"/>
      <c r="G66" s="1"/>
      <c r="H66" s="1"/>
      <c r="I66" s="1"/>
      <c r="J66" s="1"/>
      <c r="K66" s="1"/>
      <c r="L66" s="1"/>
      <c r="M66" s="1"/>
      <c r="N66" s="1"/>
      <c r="O66" s="1"/>
      <c r="P66" s="1"/>
      <c r="Q66" s="1"/>
      <c r="R66" s="1"/>
      <c r="S66" s="1"/>
      <c r="T66" s="1"/>
      <c r="U66" s="1"/>
      <c r="V66" s="1"/>
      <c r="W66" s="1"/>
      <c r="X66" s="1"/>
      <c r="Y66" s="1"/>
    </row>
    <row r="67" customFormat="false" ht="13.5" hidden="false" customHeight="true" outlineLevel="0" collapsed="false">
      <c r="B67" s="216"/>
      <c r="C67" s="216"/>
      <c r="D67" s="216"/>
    </row>
    <row r="68" customFormat="false" ht="15" hidden="false" customHeight="true" outlineLevel="0" collapsed="false"/>
    <row r="69" customFormat="false" ht="13.5" hidden="false" customHeight="true" outlineLevel="0" collapsed="false"/>
  </sheetData>
  <sheetProtection algorithmName="SHA-512" hashValue="O/85E1CfgKribtNI0SN/SYcNY0+PUkNU8bUd5f6v+hHLEk08OhoAUUtmBvy4vFYaKEPlxr4HrE2bsflIDYrhSQ==" saltValue="d4Hp/4yQ9UjpkcxrT/Io4A==" spinCount="100000" sheet="true" selectLockedCells="true" selectUnlockedCells="true"/>
  <mergeCells count="56">
    <mergeCell ref="W2:Y3"/>
    <mergeCell ref="D4:E4"/>
    <mergeCell ref="H4:K4"/>
    <mergeCell ref="O4:P4"/>
    <mergeCell ref="Q4:S4"/>
    <mergeCell ref="B6:B8"/>
    <mergeCell ref="C6:C8"/>
    <mergeCell ref="D6:D8"/>
    <mergeCell ref="E6:E8"/>
    <mergeCell ref="F6:F8"/>
    <mergeCell ref="G6:G8"/>
    <mergeCell ref="H6:J6"/>
    <mergeCell ref="K6:L6"/>
    <mergeCell ref="M6:N7"/>
    <mergeCell ref="O6:O8"/>
    <mergeCell ref="P6:V7"/>
    <mergeCell ref="W6:W8"/>
    <mergeCell ref="X6:X8"/>
    <mergeCell ref="Y6:Y8"/>
    <mergeCell ref="B29:D35"/>
    <mergeCell ref="F29:F30"/>
    <mergeCell ref="D38:E38"/>
    <mergeCell ref="H38:K38"/>
    <mergeCell ref="O38:P38"/>
    <mergeCell ref="Q38:S38"/>
    <mergeCell ref="B40:B42"/>
    <mergeCell ref="C40:C42"/>
    <mergeCell ref="D40:D42"/>
    <mergeCell ref="E40:E42"/>
    <mergeCell ref="F40:F42"/>
    <mergeCell ref="G40:G42"/>
    <mergeCell ref="H40:J40"/>
    <mergeCell ref="K40:L40"/>
    <mergeCell ref="M40:N41"/>
    <mergeCell ref="O40:O42"/>
    <mergeCell ref="P40:V41"/>
    <mergeCell ref="W40:W42"/>
    <mergeCell ref="X40:X42"/>
    <mergeCell ref="Y40:Y42"/>
    <mergeCell ref="B43:F44"/>
    <mergeCell ref="F57:G57"/>
    <mergeCell ref="F58:G58"/>
    <mergeCell ref="H60:M60"/>
    <mergeCell ref="N60:O60"/>
    <mergeCell ref="P60:U60"/>
    <mergeCell ref="V60:W60"/>
    <mergeCell ref="H61:M61"/>
    <mergeCell ref="N61:O61"/>
    <mergeCell ref="P61:U61"/>
    <mergeCell ref="V61:W61"/>
    <mergeCell ref="B62:D66"/>
    <mergeCell ref="H62:M62"/>
    <mergeCell ref="N62:O62"/>
    <mergeCell ref="P62:U62"/>
    <mergeCell ref="V62:W62"/>
    <mergeCell ref="H65:W65"/>
  </mergeCells>
  <conditionalFormatting sqref="C9:Y28">
    <cfRule type="cellIs" priority="2" operator="equal" aboveAverage="0" equalAverage="0" bottom="0" percent="0" rank="0" text="" dxfId="2">
      <formula>0</formula>
    </cfRule>
  </conditionalFormatting>
  <conditionalFormatting sqref="C45:Y56">
    <cfRule type="cellIs" priority="3" operator="equal" aboveAverage="0" equalAverage="0" bottom="0" percent="0" rank="0" text="" dxfId="3">
      <formula>0</formula>
    </cfRule>
  </conditionalFormatting>
  <conditionalFormatting sqref="H29:V30">
    <cfRule type="cellIs" priority="4" operator="equal" aboveAverage="0" equalAverage="0" bottom="0" percent="0" rank="0" text="" dxfId="4">
      <formula>0</formula>
    </cfRule>
  </conditionalFormatting>
  <conditionalFormatting sqref="H43:V44">
    <cfRule type="cellIs" priority="5" operator="equal" aboveAverage="0" equalAverage="0" bottom="0" percent="0" rank="0" text="" dxfId="5">
      <formula>0</formula>
    </cfRule>
  </conditionalFormatting>
  <conditionalFormatting sqref="H57:V58">
    <cfRule type="cellIs" priority="6" operator="equal" aboveAverage="0" equalAverage="0" bottom="0" percent="0" rank="0" text="" dxfId="6">
      <formula>0</formula>
    </cfRule>
  </conditionalFormatting>
  <printOptions headings="false" gridLines="false" gridLinesSet="true" horizontalCentered="true" verticalCentered="false"/>
  <pageMargins left="0" right="0" top="0" bottom="0" header="0.511811023622047" footer="0.511811023622047"/>
  <pageSetup paperSize="9" scale="8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7" id="{E7B3A66D-1A66-49E9-BE83-009112E4602A}">
            <xm:f>2965D!$G$5&lt;&gt;$B9</xm:f>
            <x14:dxf>
              <border diagonalUp="false" diagonalDown="false">
                <left/>
                <right/>
                <top/>
                <bottom style="thin"/>
                <diagonal/>
              </border>
            </x14:dxf>
          </x14:cfRule>
          <xm:sqref>B9:Y9 Y9:Y28</xm:sqref>
        </x14:conditionalFormatting>
        <x14:conditionalFormatting xmlns:xm="http://schemas.microsoft.com/office/excel/2006/main">
          <x14:cfRule type="expression" priority="8" id="{C7EAB05F-BD5E-49E4-A9F0-B9908CF3C499}">
            <xm:f>2965D!$G$5&lt;&gt;$B11</xm:f>
            <x14:dxf>
              <border diagonalUp="false" diagonalDown="false">
                <left/>
                <right/>
                <top/>
                <bottom style="thin"/>
                <diagonal/>
              </border>
            </x14:dxf>
          </x14:cfRule>
          <xm:sqref>B11:Y28</xm:sqref>
        </x14:conditionalFormatting>
        <x14:conditionalFormatting xmlns:xm="http://schemas.microsoft.com/office/excel/2006/main">
          <x14:cfRule type="expression" priority="9" id="{5D553844-F158-47C3-A795-583B77B1211D}">
            <xm:f>2965D!$G$5&lt;&gt;$B45</xm:f>
            <x14:dxf>
              <border diagonalUp="false" diagonalDown="false">
                <left/>
                <right/>
                <top/>
                <bottom style="thin"/>
                <diagonal/>
              </border>
            </x14:dxf>
          </x14:cfRule>
          <xm:sqref>B45:Y56</xm:sqref>
        </x14:conditionalFormatting>
        <x14:conditionalFormatting xmlns:xm="http://schemas.microsoft.com/office/excel/2006/main">
          <x14:cfRule type="expression" priority="10" id="{64743AEE-8B39-48C5-9B6F-A4C65C71B2F4}">
            <xm:f>2965D!$G$5&lt;&gt;$B$10</xm:f>
            <x14:dxf>
              <border diagonalUp="false" diagonalDown="false">
                <left/>
                <right/>
                <top/>
                <bottom style="thin"/>
                <diagonal/>
              </border>
            </x14:dxf>
          </x14:cfRule>
          <xm:sqref>Y9 B10:Y10 Y11:Y28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14" width="120"/>
  </cols>
  <sheetData>
    <row r="1" customFormat="false" ht="18.75" hidden="false" customHeight="false" outlineLevel="0" collapsed="false">
      <c r="A1" s="265" t="s">
        <v>84</v>
      </c>
      <c r="B1" s="265"/>
    </row>
    <row r="2" s="267" customFormat="true" ht="15" hidden="false" customHeight="false" outlineLevel="0" collapsed="false">
      <c r="A2" s="266" t="n">
        <v>1</v>
      </c>
      <c r="B2" s="14" t="s">
        <v>85</v>
      </c>
    </row>
    <row r="3" customFormat="false" ht="15" hidden="false" customHeight="false" outlineLevel="0" collapsed="false">
      <c r="A3" s="266" t="n">
        <v>2</v>
      </c>
      <c r="B3" s="268" t="s">
        <v>86</v>
      </c>
    </row>
    <row r="4" customFormat="false" ht="15" hidden="false" customHeight="false" outlineLevel="0" collapsed="false">
      <c r="A4" s="266" t="n">
        <v>3</v>
      </c>
      <c r="B4" s="268" t="s">
        <v>87</v>
      </c>
    </row>
    <row r="5" customFormat="false" ht="15" hidden="false" customHeight="false" outlineLevel="0" collapsed="false">
      <c r="A5" s="266" t="n">
        <v>4</v>
      </c>
      <c r="B5" s="268" t="s">
        <v>88</v>
      </c>
    </row>
    <row r="6" customFormat="false" ht="15" hidden="false" customHeight="false" outlineLevel="0" collapsed="false">
      <c r="A6" s="266"/>
      <c r="B6" s="268"/>
    </row>
    <row r="7" customFormat="false" ht="18.75" hidden="false" customHeight="false" outlineLevel="0" collapsed="false">
      <c r="A7" s="265" t="s">
        <v>89</v>
      </c>
      <c r="B7" s="265"/>
    </row>
    <row r="8" customFormat="false" ht="15" hidden="false" customHeight="false" outlineLevel="0" collapsed="false">
      <c r="A8" s="266" t="n">
        <v>1</v>
      </c>
      <c r="B8" s="14" t="s">
        <v>90</v>
      </c>
    </row>
    <row r="9" customFormat="false" ht="15" hidden="false" customHeight="false" outlineLevel="0" collapsed="false">
      <c r="A9" s="266" t="n">
        <v>2</v>
      </c>
      <c r="B9" s="268" t="s">
        <v>91</v>
      </c>
    </row>
    <row r="10" customFormat="false" ht="15" hidden="false" customHeight="false" outlineLevel="0" collapsed="false">
      <c r="A10" s="266" t="n">
        <v>3</v>
      </c>
      <c r="B10" s="269" t="s">
        <v>92</v>
      </c>
    </row>
    <row r="11" customFormat="false" ht="15" hidden="false" customHeight="false" outlineLevel="0" collapsed="false">
      <c r="A11" s="266" t="n">
        <v>4</v>
      </c>
      <c r="B11" s="14" t="s">
        <v>93</v>
      </c>
    </row>
    <row r="12" customFormat="false" ht="15" hidden="false" customHeight="false" outlineLevel="0" collapsed="false">
      <c r="A12" s="266"/>
    </row>
    <row r="13" s="267" customFormat="true" ht="15" hidden="false" customHeight="false" outlineLevel="0" collapsed="false">
      <c r="A13" s="266"/>
      <c r="B13" s="14" t="s">
        <v>94</v>
      </c>
    </row>
    <row r="14" customFormat="false" ht="15" hidden="false" customHeight="false" outlineLevel="0" collapsed="false">
      <c r="A14" s="266"/>
      <c r="B14" s="268"/>
    </row>
    <row r="15" customFormat="false" ht="15" hidden="false" customHeight="false" outlineLevel="0" collapsed="false">
      <c r="A15" s="266"/>
    </row>
    <row r="16" customFormat="false" ht="15" hidden="false" customHeight="false" outlineLevel="0" collapsed="false">
      <c r="A16" s="267"/>
      <c r="B16" s="270"/>
    </row>
  </sheetData>
  <mergeCells count="2">
    <mergeCell ref="A1:B1"/>
    <mergeCell ref="A7:B7"/>
  </mergeCells>
  <hyperlinks>
    <hyperlink ref="B3" location="'2965D'!F2" display="Enter aircraft number and date along the top"/>
    <hyperlink ref="B4" location="'2965D'!C4" display="Add launches and hours before flight from the F724."/>
    <hyperlink ref="B5" location="'2965D'!T10" display="Add the last four digits of the AC commander into the AF initials column during the in-brief."/>
    <hyperlink ref="B9" r:id="rId1" display="Login to the VGS Stats Dashboar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A22" activeCellId="0" sqref="A22"/>
    </sheetView>
  </sheetViews>
  <sheetFormatPr defaultColWidth="9.2890625" defaultRowHeight="15" zeroHeight="false" outlineLevelRow="0" outlineLevelCol="0"/>
  <cols>
    <col collapsed="false" customWidth="true" hidden="false" outlineLevel="0" max="1" min="1" style="271" width="8.43"/>
    <col collapsed="false" customWidth="true" hidden="false" outlineLevel="0" max="2" min="2" style="272" width="11.43"/>
    <col collapsed="false" customWidth="true" hidden="false" outlineLevel="0" max="3" min="3" style="272" width="8.57"/>
    <col collapsed="false" customWidth="true" hidden="false" outlineLevel="0" max="4" min="4" style="272" width="148.43"/>
    <col collapsed="false" customWidth="false" hidden="false" outlineLevel="0" max="1024" min="5" style="272" width="9.28"/>
  </cols>
  <sheetData>
    <row r="1" s="275" customFormat="true" ht="15.75" hidden="false" customHeight="false" outlineLevel="0" collapsed="false">
      <c r="A1" s="273" t="s">
        <v>95</v>
      </c>
      <c r="B1" s="274" t="s">
        <v>4</v>
      </c>
      <c r="C1" s="274" t="s">
        <v>96</v>
      </c>
      <c r="D1" s="274" t="s">
        <v>97</v>
      </c>
    </row>
    <row r="2" customFormat="false" ht="60" hidden="false" customHeight="false" outlineLevel="0" collapsed="false">
      <c r="A2" s="271" t="s">
        <v>98</v>
      </c>
      <c r="B2" s="276" t="n">
        <v>45027</v>
      </c>
      <c r="C2" s="272" t="s">
        <v>99</v>
      </c>
      <c r="D2" s="216" t="s">
        <v>100</v>
      </c>
    </row>
    <row r="3" customFormat="false" ht="15" hidden="false" customHeight="false" outlineLevel="0" collapsed="false">
      <c r="A3" s="271" t="s">
        <v>101</v>
      </c>
      <c r="B3" s="276" t="n">
        <v>45030</v>
      </c>
      <c r="C3" s="272" t="s">
        <v>99</v>
      </c>
      <c r="D3" s="272" t="s">
        <v>102</v>
      </c>
    </row>
    <row r="4" customFormat="false" ht="15" hidden="false" customHeight="false" outlineLevel="0" collapsed="false">
      <c r="A4" s="271" t="s">
        <v>103</v>
      </c>
      <c r="B4" s="276" t="n">
        <v>45074</v>
      </c>
      <c r="C4" s="272" t="s">
        <v>99</v>
      </c>
      <c r="D4" s="272" t="s">
        <v>104</v>
      </c>
    </row>
    <row r="5" customFormat="false" ht="90" hidden="false" customHeight="false" outlineLevel="0" collapsed="false">
      <c r="A5" s="271" t="s">
        <v>105</v>
      </c>
      <c r="B5" s="276" t="n">
        <v>45088</v>
      </c>
      <c r="C5" s="272" t="s">
        <v>106</v>
      </c>
      <c r="D5" s="216" t="s">
        <v>107</v>
      </c>
    </row>
    <row r="6" customFormat="false" ht="15" hidden="false" customHeight="false" outlineLevel="0" collapsed="false">
      <c r="A6" s="271" t="s">
        <v>108</v>
      </c>
      <c r="B6" s="276" t="n">
        <v>45101</v>
      </c>
      <c r="C6" s="272" t="s">
        <v>106</v>
      </c>
      <c r="D6" s="272" t="s">
        <v>109</v>
      </c>
    </row>
    <row r="7" customFormat="false" ht="60" hidden="false" customHeight="false" outlineLevel="0" collapsed="false">
      <c r="A7" s="271" t="s">
        <v>110</v>
      </c>
      <c r="B7" s="276" t="n">
        <v>45136</v>
      </c>
      <c r="C7" s="272" t="s">
        <v>99</v>
      </c>
      <c r="D7" s="216" t="s">
        <v>111</v>
      </c>
    </row>
    <row r="8" customFormat="false" ht="45" hidden="false" customHeight="false" outlineLevel="0" collapsed="false">
      <c r="A8" s="271" t="s">
        <v>112</v>
      </c>
      <c r="B8" s="276" t="n">
        <v>45112</v>
      </c>
      <c r="C8" s="272" t="s">
        <v>113</v>
      </c>
      <c r="D8" s="216" t="s">
        <v>114</v>
      </c>
    </row>
    <row r="9" customFormat="false" ht="15" hidden="false" customHeight="false" outlineLevel="0" collapsed="false">
      <c r="A9" s="271" t="s">
        <v>115</v>
      </c>
      <c r="B9" s="276" t="n">
        <v>45513</v>
      </c>
      <c r="C9" s="272" t="s">
        <v>113</v>
      </c>
      <c r="D9" s="272" t="s">
        <v>116</v>
      </c>
    </row>
    <row r="10" customFormat="false" ht="45" hidden="false" customHeight="false" outlineLevel="0" collapsed="false">
      <c r="A10" s="271" t="s">
        <v>117</v>
      </c>
      <c r="B10" s="276" t="n">
        <v>45522</v>
      </c>
      <c r="C10" s="272" t="s">
        <v>99</v>
      </c>
      <c r="D10" s="216" t="s">
        <v>118</v>
      </c>
    </row>
    <row r="11" customFormat="false" ht="30" hidden="false" customHeight="false" outlineLevel="0" collapsed="false">
      <c r="A11" s="271" t="s">
        <v>119</v>
      </c>
      <c r="B11" s="276" t="n">
        <v>45560</v>
      </c>
      <c r="C11" s="272" t="s">
        <v>99</v>
      </c>
      <c r="D11" s="216" t="s">
        <v>120</v>
      </c>
    </row>
    <row r="12" customFormat="false" ht="15" hidden="false" customHeight="false" outlineLevel="0" collapsed="false">
      <c r="A12" s="271" t="s">
        <v>121</v>
      </c>
      <c r="B12" s="276" t="n">
        <v>45564</v>
      </c>
      <c r="C12" s="272" t="s">
        <v>99</v>
      </c>
      <c r="D12" s="272" t="s">
        <v>122</v>
      </c>
    </row>
    <row r="13" customFormat="false" ht="15" hidden="false" customHeight="false" outlineLevel="0" collapsed="false">
      <c r="A13" s="271" t="s">
        <v>123</v>
      </c>
      <c r="B13" s="276" t="n">
        <v>45564</v>
      </c>
      <c r="C13" s="272" t="s">
        <v>99</v>
      </c>
      <c r="D13" s="272" t="s">
        <v>124</v>
      </c>
    </row>
    <row r="14" customFormat="false" ht="15" hidden="false" customHeight="false" outlineLevel="0" collapsed="false">
      <c r="A14" s="271" t="s">
        <v>125</v>
      </c>
      <c r="B14" s="276" t="n">
        <v>45633</v>
      </c>
      <c r="C14" s="272" t="s">
        <v>126</v>
      </c>
      <c r="D14" s="272" t="s">
        <v>127</v>
      </c>
    </row>
    <row r="15" customFormat="false" ht="15" hidden="false" customHeight="false" outlineLevel="0" collapsed="false">
      <c r="A15" s="271" t="s">
        <v>128</v>
      </c>
      <c r="B15" s="276" t="n">
        <v>45633</v>
      </c>
      <c r="C15" s="272" t="s">
        <v>126</v>
      </c>
      <c r="D15" s="272" t="s">
        <v>129</v>
      </c>
    </row>
    <row r="16" customFormat="false" ht="15" hidden="false" customHeight="false" outlineLevel="0" collapsed="false">
      <c r="A16" s="271" t="s">
        <v>130</v>
      </c>
      <c r="B16" s="276" t="n">
        <v>45642</v>
      </c>
      <c r="C16" s="272" t="s">
        <v>99</v>
      </c>
      <c r="D16" s="272" t="s">
        <v>131</v>
      </c>
    </row>
    <row r="17" customFormat="false" ht="45" hidden="false" customHeight="false" outlineLevel="0" collapsed="false">
      <c r="A17" s="271" t="s">
        <v>132</v>
      </c>
      <c r="B17" s="276" t="n">
        <v>45699</v>
      </c>
      <c r="C17" s="272" t="s">
        <v>99</v>
      </c>
      <c r="D17" s="216" t="s">
        <v>133</v>
      </c>
    </row>
    <row r="18" customFormat="false" ht="45" hidden="false" customHeight="false" outlineLevel="0" collapsed="false">
      <c r="A18" s="271" t="s">
        <v>134</v>
      </c>
      <c r="B18" s="276" t="n">
        <v>45703</v>
      </c>
      <c r="C18" s="272" t="s">
        <v>99</v>
      </c>
      <c r="D18" s="216" t="s">
        <v>135</v>
      </c>
    </row>
    <row r="19" customFormat="false" ht="15" hidden="false" customHeight="false" outlineLevel="0" collapsed="false">
      <c r="A19" s="271" t="s">
        <v>136</v>
      </c>
      <c r="B19" s="276" t="n">
        <v>45725</v>
      </c>
      <c r="C19" s="272" t="s">
        <v>106</v>
      </c>
      <c r="D19" s="272" t="s">
        <v>137</v>
      </c>
    </row>
    <row r="20" customFormat="false" ht="15" hidden="false" customHeight="false" outlineLevel="0" collapsed="false">
      <c r="A20" s="271" t="s">
        <v>138</v>
      </c>
      <c r="B20" s="276" t="n">
        <v>45838</v>
      </c>
      <c r="C20" s="272" t="s">
        <v>99</v>
      </c>
      <c r="D20" s="272" t="s">
        <v>139</v>
      </c>
    </row>
    <row r="21" customFormat="false" ht="15" hidden="false" customHeight="false" outlineLevel="0" collapsed="false">
      <c r="A21" s="271" t="s">
        <v>140</v>
      </c>
      <c r="B21" s="276" t="n">
        <v>45940</v>
      </c>
      <c r="C21" s="272" t="s">
        <v>99</v>
      </c>
      <c r="D21" s="272" t="s">
        <v>141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5" zeroHeight="false" outlineLevelRow="0" outlineLevelCol="0"/>
  <cols>
    <col collapsed="false" customWidth="true" hidden="false" outlineLevel="0" max="1" min="1" style="0" width="11.43"/>
    <col collapsed="false" customWidth="true" hidden="false" outlineLevel="0" max="2" min="2" style="0" width="12.28"/>
    <col collapsed="false" customWidth="true" hidden="false" outlineLevel="0" max="3" min="3" style="0" width="11.14"/>
    <col collapsed="false" customWidth="true" hidden="false" outlineLevel="0" max="4" min="4" style="0" width="16.43"/>
    <col collapsed="false" customWidth="true" hidden="false" outlineLevel="0" max="5" min="5" style="0" width="13.57"/>
    <col collapsed="false" customWidth="true" hidden="false" outlineLevel="0" max="6" min="6" style="0" width="10.71"/>
    <col collapsed="false" customWidth="true" hidden="false" outlineLevel="0" max="8" min="8" style="0" width="10.28"/>
  </cols>
  <sheetData>
    <row r="1" customFormat="false" ht="15" hidden="false" customHeight="false" outlineLevel="0" collapsed="false">
      <c r="A1" s="277" t="s">
        <v>142</v>
      </c>
      <c r="B1" s="277" t="s">
        <v>143</v>
      </c>
      <c r="D1" s="267" t="s">
        <v>25</v>
      </c>
    </row>
    <row r="2" customFormat="false" ht="15" hidden="false" customHeight="false" outlineLevel="0" collapsed="false">
      <c r="A2" s="0" t="s">
        <v>144</v>
      </c>
      <c r="B2" s="0" t="s">
        <v>145</v>
      </c>
      <c r="D2" s="0" t="s">
        <v>18</v>
      </c>
    </row>
    <row r="3" customFormat="false" ht="15" hidden="false" customHeight="false" outlineLevel="0" collapsed="false">
      <c r="A3" s="0" t="s">
        <v>146</v>
      </c>
      <c r="B3" s="0" t="s">
        <v>147</v>
      </c>
      <c r="D3" s="0" t="s">
        <v>19</v>
      </c>
    </row>
    <row r="4" customFormat="false" ht="15" hidden="false" customHeight="false" outlineLevel="0" collapsed="false">
      <c r="A4" s="0" t="s">
        <v>148</v>
      </c>
      <c r="B4" s="0" t="s">
        <v>149</v>
      </c>
      <c r="D4" s="0" t="s">
        <v>20</v>
      </c>
    </row>
    <row r="5" customFormat="false" ht="15" hidden="false" customHeight="false" outlineLevel="0" collapsed="false">
      <c r="A5" s="0" t="s">
        <v>150</v>
      </c>
      <c r="B5" s="0" t="s">
        <v>151</v>
      </c>
      <c r="D5" s="0" t="s">
        <v>44</v>
      </c>
    </row>
    <row r="6" customFormat="false" ht="15" hidden="false" customHeight="false" outlineLevel="0" collapsed="false">
      <c r="A6" s="0" t="s">
        <v>152</v>
      </c>
      <c r="B6" s="0" t="s">
        <v>153</v>
      </c>
      <c r="D6" s="0" t="s">
        <v>45</v>
      </c>
    </row>
    <row r="7" customFormat="false" ht="15" hidden="false" customHeight="false" outlineLevel="0" collapsed="false">
      <c r="A7" s="0" t="s">
        <v>2</v>
      </c>
      <c r="B7" s="0" t="s">
        <v>154</v>
      </c>
      <c r="D7" s="0" t="s">
        <v>46</v>
      </c>
    </row>
    <row r="8" customFormat="false" ht="15" hidden="false" customHeight="false" outlineLevel="0" collapsed="false">
      <c r="A8" s="0" t="s">
        <v>155</v>
      </c>
      <c r="B8" s="0" t="s">
        <v>156</v>
      </c>
    </row>
    <row r="9" customFormat="false" ht="15" hidden="false" customHeight="false" outlineLevel="0" collapsed="false">
      <c r="A9" s="0" t="s">
        <v>157</v>
      </c>
      <c r="B9" s="0" t="s">
        <v>158</v>
      </c>
    </row>
    <row r="10" customFormat="false" ht="15" hidden="false" customHeight="false" outlineLevel="0" collapsed="false">
      <c r="A10" s="0" t="s">
        <v>159</v>
      </c>
      <c r="B10" s="0" t="s">
        <v>160</v>
      </c>
    </row>
    <row r="15" customFormat="false" ht="15" hidden="false" customHeight="false" outlineLevel="0" collapsed="false">
      <c r="A15" s="277" t="s">
        <v>161</v>
      </c>
      <c r="B15" s="277" t="s">
        <v>162</v>
      </c>
      <c r="C15" s="277" t="s">
        <v>163</v>
      </c>
      <c r="E15" s="267"/>
    </row>
    <row r="16" customFormat="false" ht="15" hidden="false" customHeight="false" outlineLevel="0" collapsed="false">
      <c r="A16" s="278" t="s">
        <v>164</v>
      </c>
      <c r="B16" s="0" t="s">
        <v>113</v>
      </c>
      <c r="C16" s="0" t="s">
        <v>43</v>
      </c>
    </row>
    <row r="17" customFormat="false" ht="15" hidden="false" customHeight="false" outlineLevel="0" collapsed="false">
      <c r="A17" s="278" t="s">
        <v>165</v>
      </c>
      <c r="B17" s="0" t="s">
        <v>166</v>
      </c>
      <c r="C17" s="0" t="s">
        <v>167</v>
      </c>
    </row>
    <row r="18" customFormat="false" ht="15" hidden="false" customHeight="false" outlineLevel="0" collapsed="false">
      <c r="A18" s="278" t="s">
        <v>168</v>
      </c>
      <c r="B18" s="0" t="s">
        <v>169</v>
      </c>
      <c r="C18" s="0" t="s">
        <v>170</v>
      </c>
    </row>
    <row r="19" customFormat="false" ht="15" hidden="false" customHeight="false" outlineLevel="0" collapsed="false">
      <c r="A19" s="278" t="s">
        <v>171</v>
      </c>
      <c r="B19" s="0" t="s">
        <v>172</v>
      </c>
      <c r="C19" s="0" t="s">
        <v>173</v>
      </c>
    </row>
    <row r="20" customFormat="false" ht="15" hidden="false" customHeight="false" outlineLevel="0" collapsed="false">
      <c r="A20" s="278" t="s">
        <v>174</v>
      </c>
      <c r="B20" s="0" t="s">
        <v>175</v>
      </c>
      <c r="C20" s="0" t="s">
        <v>176</v>
      </c>
    </row>
    <row r="21" customFormat="false" ht="15" hidden="false" customHeight="false" outlineLevel="0" collapsed="false">
      <c r="A21" s="278"/>
      <c r="B21" s="0" t="s">
        <v>177</v>
      </c>
      <c r="C21" s="0" t="s">
        <v>178</v>
      </c>
    </row>
    <row r="22" customFormat="false" ht="15" hidden="false" customHeight="false" outlineLevel="0" collapsed="false">
      <c r="A22" s="278" t="s">
        <v>179</v>
      </c>
      <c r="B22" s="0" t="s">
        <v>180</v>
      </c>
      <c r="C22" s="0" t="s">
        <v>181</v>
      </c>
    </row>
    <row r="23" customFormat="false" ht="15" hidden="false" customHeight="false" outlineLevel="0" collapsed="false">
      <c r="A23" s="278"/>
      <c r="B23" s="0" t="s">
        <v>182</v>
      </c>
      <c r="C23" s="0" t="s">
        <v>183</v>
      </c>
    </row>
    <row r="24" customFormat="false" ht="15" hidden="false" customHeight="false" outlineLevel="0" collapsed="false">
      <c r="A24" s="278"/>
      <c r="B24" s="0" t="s">
        <v>184</v>
      </c>
      <c r="C24" s="0" t="s">
        <v>185</v>
      </c>
    </row>
    <row r="25" customFormat="false" ht="15" hidden="false" customHeight="false" outlineLevel="0" collapsed="false">
      <c r="A25" s="278" t="s">
        <v>186</v>
      </c>
      <c r="B25" s="0" t="s">
        <v>187</v>
      </c>
      <c r="C25" s="0" t="s">
        <v>188</v>
      </c>
    </row>
    <row r="26" customFormat="false" ht="15" hidden="false" customHeight="false" outlineLevel="0" collapsed="false">
      <c r="A26" s="278"/>
      <c r="B26" s="0" t="s">
        <v>189</v>
      </c>
      <c r="C26" s="0" t="s">
        <v>190</v>
      </c>
    </row>
    <row r="27" customFormat="false" ht="15" hidden="false" customHeight="false" outlineLevel="0" collapsed="false">
      <c r="A27" s="278" t="s">
        <v>191</v>
      </c>
      <c r="B27" s="0" t="s">
        <v>99</v>
      </c>
      <c r="C27" s="0" t="s">
        <v>38</v>
      </c>
    </row>
    <row r="28" customFormat="false" ht="15" hidden="false" customHeight="false" outlineLevel="0" collapsed="false">
      <c r="A28" s="278" t="s">
        <v>192</v>
      </c>
      <c r="B28" s="0" t="s">
        <v>193</v>
      </c>
      <c r="C28" s="0" t="s">
        <v>194</v>
      </c>
    </row>
    <row r="29" customFormat="false" ht="15" hidden="false" customHeight="false" outlineLevel="0" collapsed="false">
      <c r="A29" s="278" t="s">
        <v>195</v>
      </c>
      <c r="B29" s="0" t="s">
        <v>196</v>
      </c>
      <c r="C29" s="0" t="s">
        <v>197</v>
      </c>
    </row>
    <row r="30" customFormat="false" ht="15" hidden="false" customHeight="false" outlineLevel="0" collapsed="false">
      <c r="A30" s="278"/>
      <c r="B30" s="0" t="s">
        <v>198</v>
      </c>
      <c r="C30" s="0" t="s">
        <v>199</v>
      </c>
    </row>
    <row r="31" customFormat="false" ht="15" hidden="false" customHeight="false" outlineLevel="0" collapsed="false">
      <c r="A31" s="278"/>
      <c r="B31" s="0" t="s">
        <v>200</v>
      </c>
      <c r="C31" s="0" t="s">
        <v>201</v>
      </c>
    </row>
    <row r="32" customFormat="false" ht="15" hidden="false" customHeight="false" outlineLevel="0" collapsed="false">
      <c r="A32" s="278" t="s">
        <v>202</v>
      </c>
      <c r="B32" s="0" t="s">
        <v>200</v>
      </c>
      <c r="C32" s="0" t="s">
        <v>203</v>
      </c>
    </row>
    <row r="33" customFormat="false" ht="15" hidden="false" customHeight="false" outlineLevel="0" collapsed="false">
      <c r="A33" s="278" t="s">
        <v>204</v>
      </c>
      <c r="B33" s="0" t="s">
        <v>205</v>
      </c>
      <c r="C33" s="0" t="s">
        <v>206</v>
      </c>
    </row>
    <row r="34" customFormat="false" ht="15" hidden="false" customHeight="false" outlineLevel="0" collapsed="false">
      <c r="A34" s="278" t="s">
        <v>207</v>
      </c>
      <c r="B34" s="0" t="s">
        <v>208</v>
      </c>
      <c r="C34" s="0" t="s">
        <v>209</v>
      </c>
    </row>
    <row r="35" customFormat="false" ht="15" hidden="false" customHeight="false" outlineLevel="0" collapsed="false">
      <c r="A35" s="278"/>
      <c r="B35" s="0" t="s">
        <v>210</v>
      </c>
      <c r="C35" s="0" t="s">
        <v>211</v>
      </c>
    </row>
    <row r="36" customFormat="false" ht="15" hidden="false" customHeight="false" outlineLevel="0" collapsed="false">
      <c r="A36" s="278" t="s">
        <v>212</v>
      </c>
      <c r="B36" s="0" t="s">
        <v>213</v>
      </c>
      <c r="C36" s="0" t="s">
        <v>214</v>
      </c>
    </row>
    <row r="37" customFormat="false" ht="15" hidden="false" customHeight="false" outlineLevel="0" collapsed="false">
      <c r="A37" s="278" t="s">
        <v>215</v>
      </c>
      <c r="B37" s="0" t="s">
        <v>216</v>
      </c>
      <c r="C37" s="0" t="s">
        <v>217</v>
      </c>
    </row>
    <row r="38" customFormat="false" ht="15" hidden="false" customHeight="false" outlineLevel="0" collapsed="false">
      <c r="A38" s="278" t="s">
        <v>218</v>
      </c>
      <c r="B38" s="0" t="s">
        <v>219</v>
      </c>
      <c r="C38" s="0" t="s">
        <v>220</v>
      </c>
    </row>
    <row r="39" customFormat="false" ht="15" hidden="false" customHeight="false" outlineLevel="0" collapsed="false">
      <c r="A39" s="278" t="s">
        <v>221</v>
      </c>
      <c r="B39" s="0" t="s">
        <v>222</v>
      </c>
      <c r="C39" s="0" t="s">
        <v>223</v>
      </c>
    </row>
    <row r="40" customFormat="false" ht="15" hidden="false" customHeight="false" outlineLevel="0" collapsed="false">
      <c r="A40" s="278" t="s">
        <v>224</v>
      </c>
      <c r="B40" s="0" t="s">
        <v>106</v>
      </c>
      <c r="C40" s="0" t="s">
        <v>225</v>
      </c>
    </row>
    <row r="41" customFormat="false" ht="15" hidden="false" customHeight="false" outlineLevel="0" collapsed="false">
      <c r="A41" s="278"/>
      <c r="B41" s="0" t="s">
        <v>226</v>
      </c>
      <c r="C41" s="0" t="s">
        <v>227</v>
      </c>
    </row>
    <row r="42" customFormat="false" ht="15" hidden="false" customHeight="false" outlineLevel="0" collapsed="false">
      <c r="A42" s="278"/>
      <c r="B42" s="0" t="s">
        <v>228</v>
      </c>
      <c r="C42" s="0" t="s">
        <v>229</v>
      </c>
    </row>
    <row r="43" customFormat="false" ht="15" hidden="false" customHeight="false" outlineLevel="0" collapsed="false">
      <c r="A43" s="278"/>
      <c r="B43" s="0" t="s">
        <v>230</v>
      </c>
      <c r="C43" s="0" t="s">
        <v>231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8.5390625" defaultRowHeight="15" zeroHeight="false" outlineLevelRow="0" outlineLevelCol="0"/>
  <cols>
    <col collapsed="false" customWidth="true" hidden="false" outlineLevel="0" max="1" min="1" style="278" width="21"/>
    <col collapsed="false" customWidth="true" hidden="false" outlineLevel="0" max="2" min="2" style="278" width="16.71"/>
    <col collapsed="false" customWidth="true" hidden="false" outlineLevel="0" max="3" min="3" style="278" width="9.28"/>
    <col collapsed="false" customWidth="true" hidden="false" outlineLevel="0" max="4" min="4" style="279" width="15.57"/>
    <col collapsed="false" customWidth="true" hidden="false" outlineLevel="0" max="5" min="5" style="279" width="15"/>
    <col collapsed="false" customWidth="true" hidden="false" outlineLevel="0" max="6" min="6" style="280" width="13.28"/>
    <col collapsed="false" customWidth="true" hidden="false" outlineLevel="0" max="7" min="7" style="280" width="9.28"/>
    <col collapsed="false" customWidth="true" hidden="false" outlineLevel="0" max="9" min="8" style="278" width="9.28"/>
    <col collapsed="false" customWidth="true" hidden="false" outlineLevel="0" max="10" min="10" style="281" width="10.57"/>
  </cols>
  <sheetData>
    <row r="1" s="14" customFormat="true" ht="15" hidden="false" customHeight="false" outlineLevel="0" collapsed="false">
      <c r="A1" s="282" t="s">
        <v>232</v>
      </c>
      <c r="B1" s="282" t="s">
        <v>233</v>
      </c>
      <c r="C1" s="282" t="s">
        <v>25</v>
      </c>
      <c r="D1" s="283" t="s">
        <v>234</v>
      </c>
      <c r="E1" s="284" t="s">
        <v>235</v>
      </c>
      <c r="F1" s="285" t="s">
        <v>236</v>
      </c>
      <c r="G1" s="285" t="s">
        <v>14</v>
      </c>
      <c r="H1" s="282" t="s">
        <v>16</v>
      </c>
      <c r="I1" s="282" t="s">
        <v>237</v>
      </c>
      <c r="J1" s="286" t="s">
        <v>4</v>
      </c>
      <c r="K1" s="269" t="s">
        <v>33</v>
      </c>
      <c r="L1" s="269" t="s">
        <v>34</v>
      </c>
    </row>
    <row r="2" customFormat="false" ht="15" hidden="false" customHeight="false" outlineLevel="0" collapsed="false">
      <c r="A2" s="278" t="str">
        <f aca="false">2965D!B10</f>
        <v>Jennings</v>
      </c>
      <c r="B2" s="278" t="str">
        <f aca="false">2965D!C10</f>
        <v>Smith</v>
      </c>
      <c r="C2" s="278" t="str">
        <f aca="false">2965D!D10</f>
        <v>GIF</v>
      </c>
      <c r="D2" s="279" t="n">
        <f aca="false">2965D!E10+Formatted[[#This Row],[Date]]</f>
        <v>46067.4583333333</v>
      </c>
      <c r="E2" s="279" t="n">
        <f aca="false">2965D!F10+Formatted[[#This Row],[Date]]</f>
        <v>46067.4638888889</v>
      </c>
      <c r="F2" s="280" t="n">
        <f aca="false">ROUND((Formatted[[#This Row],[LandingTime]]-Formatted[[#This Row],[TakeOffTime]]) * 1440, 0)</f>
        <v>8</v>
      </c>
      <c r="G2" s="280" t="n">
        <f aca="false">2965D!O10</f>
        <v>6</v>
      </c>
      <c r="H2" s="278" t="n">
        <f aca="false">FALSE()</f>
        <v>0</v>
      </c>
      <c r="I2" s="278" t="str">
        <f aca="false">2965D!$F$2</f>
        <v>ZE633</v>
      </c>
      <c r="J2" s="281" t="n">
        <f aca="false">2965D!$O$2</f>
        <v>46067</v>
      </c>
      <c r="K2" s="287" t="b">
        <f aca="false">FALSE()</f>
        <v>0</v>
      </c>
      <c r="L2" s="287" t="b">
        <f aca="false">FALSE()</f>
        <v>0</v>
      </c>
    </row>
    <row r="3" customFormat="false" ht="15" hidden="false" customHeight="false" outlineLevel="0" collapsed="false">
      <c r="A3" s="278" t="str">
        <f aca="false">2965D!B11</f>
        <v>Jennings</v>
      </c>
      <c r="B3" s="278" t="str">
        <f aca="false">2965D!C11</f>
        <v>Smith</v>
      </c>
      <c r="C3" s="278" t="str">
        <f aca="false">2965D!D11</f>
        <v>GIF</v>
      </c>
      <c r="D3" s="279" t="n">
        <f aca="false">2965D!E11+Formatted[[#This Row],[Date]]</f>
        <v>46067.4694444444</v>
      </c>
      <c r="E3" s="279" t="n">
        <f aca="false">2965D!F11+Formatted[[#This Row],[Date]]</f>
        <v>46067.4729166667</v>
      </c>
      <c r="F3" s="280" t="n">
        <f aca="false">ROUND((Formatted[[#This Row],[LandingTime]]-Formatted[[#This Row],[TakeOffTime]]) * 1440, 0)</f>
        <v>5</v>
      </c>
      <c r="G3" s="280" t="n">
        <f aca="false">2965D!O11</f>
        <v>1</v>
      </c>
      <c r="H3" s="278" t="n">
        <f aca="false">FALSE()</f>
        <v>0</v>
      </c>
      <c r="I3" s="278" t="str">
        <f aca="false">2965D!$F$2</f>
        <v>ZE633</v>
      </c>
      <c r="J3" s="281" t="n">
        <f aca="false">2965D!$O$2</f>
        <v>46067</v>
      </c>
      <c r="K3" s="287" t="b">
        <f aca="false">FALSE()</f>
        <v>0</v>
      </c>
      <c r="L3" s="287" t="b">
        <f aca="false">FALSE()</f>
        <v>0</v>
      </c>
    </row>
    <row r="4" customFormat="false" ht="15" hidden="false" customHeight="false" outlineLevel="0" collapsed="false">
      <c r="A4" s="278" t="str">
        <f aca="false">2965D!B12</f>
        <v>Jennings</v>
      </c>
      <c r="B4" s="278" t="str">
        <f aca="false">2965D!C12</f>
        <v>Derp</v>
      </c>
      <c r="C4" s="278" t="str">
        <f aca="false">2965D!D12</f>
        <v>GIF</v>
      </c>
      <c r="D4" s="279" t="n">
        <f aca="false">2965D!E12+Formatted[[#This Row],[Date]]</f>
        <v>46067.4777777778</v>
      </c>
      <c r="E4" s="279" t="n">
        <f aca="false">2965D!F12+Formatted[[#This Row],[Date]]</f>
        <v>46067.48125</v>
      </c>
      <c r="F4" s="280" t="n">
        <f aca="false">ROUND((Formatted[[#This Row],[LandingTime]]-Formatted[[#This Row],[TakeOffTime]]) * 1440, 0)</f>
        <v>5</v>
      </c>
      <c r="G4" s="280" t="n">
        <f aca="false">2965D!O12</f>
        <v>1</v>
      </c>
      <c r="H4" s="278" t="n">
        <f aca="false">FALSE()</f>
        <v>0</v>
      </c>
      <c r="I4" s="278" t="str">
        <f aca="false">2965D!$F$2</f>
        <v>ZE633</v>
      </c>
      <c r="J4" s="281" t="n">
        <f aca="false">2965D!$O$2</f>
        <v>46067</v>
      </c>
      <c r="K4" s="287" t="b">
        <f aca="false">FALSE()</f>
        <v>0</v>
      </c>
      <c r="L4" s="287" t="b">
        <f aca="false">FALSE()</f>
        <v>0</v>
      </c>
    </row>
    <row r="5" customFormat="false" ht="15" hidden="false" customHeight="false" outlineLevel="0" collapsed="false">
      <c r="A5" s="278" t="str">
        <f aca="false">2965D!B13</f>
        <v>Jennings</v>
      </c>
      <c r="B5" s="278" t="str">
        <f aca="false">2965D!C13</f>
        <v>Derp</v>
      </c>
      <c r="C5" s="278" t="str">
        <f aca="false">2965D!D13</f>
        <v>GIF</v>
      </c>
      <c r="D5" s="279" t="n">
        <f aca="false">2965D!E13+Formatted[[#This Row],[Date]]</f>
        <v>46067.4861111111</v>
      </c>
      <c r="E5" s="279" t="n">
        <f aca="false">2965D!F13+Formatted[[#This Row],[Date]]</f>
        <v>46067.4888888889</v>
      </c>
      <c r="F5" s="280" t="n">
        <f aca="false">ROUND((Formatted[[#This Row],[LandingTime]]-Formatted[[#This Row],[TakeOffTime]]) * 1440, 0)</f>
        <v>4</v>
      </c>
      <c r="G5" s="280" t="n">
        <f aca="false">2965D!O13</f>
        <v>1</v>
      </c>
      <c r="H5" s="278" t="n">
        <f aca="false">FALSE()</f>
        <v>0</v>
      </c>
      <c r="I5" s="278" t="str">
        <f aca="false">2965D!$F$2</f>
        <v>ZE633</v>
      </c>
      <c r="J5" s="281" t="n">
        <f aca="false">2965D!$O$2</f>
        <v>46067</v>
      </c>
      <c r="K5" s="287" t="b">
        <f aca="false">FALSE()</f>
        <v>0</v>
      </c>
      <c r="L5" s="287" t="b">
        <f aca="false">FALSE()</f>
        <v>0</v>
      </c>
    </row>
    <row r="6" customFormat="false" ht="15" hidden="false" customHeight="false" outlineLevel="0" collapsed="false">
      <c r="A6" s="278" t="str">
        <f aca="false">2965D!B14</f>
        <v>Jennings</v>
      </c>
      <c r="B6" s="278" t="str">
        <f aca="false">2965D!C14</f>
        <v>Bojangles</v>
      </c>
      <c r="C6" s="278" t="str">
        <f aca="false">2965D!D14</f>
        <v>GIF</v>
      </c>
      <c r="D6" s="279" t="n">
        <f aca="false">2965D!E14+Formatted[[#This Row],[Date]]</f>
        <v>46067.4944444444</v>
      </c>
      <c r="E6" s="279" t="n">
        <f aca="false">2965D!F14+Formatted[[#This Row],[Date]]</f>
        <v>46067.4986111111</v>
      </c>
      <c r="F6" s="280" t="n">
        <f aca="false">ROUND((Formatted[[#This Row],[LandingTime]]-Formatted[[#This Row],[TakeOffTime]]) * 1440, 0)</f>
        <v>6</v>
      </c>
      <c r="G6" s="280" t="n">
        <f aca="false">2965D!O14</f>
        <v>7</v>
      </c>
      <c r="H6" s="278" t="n">
        <f aca="false">FALSE()</f>
        <v>0</v>
      </c>
      <c r="I6" s="278" t="str">
        <f aca="false">2965D!$F$2</f>
        <v>ZE633</v>
      </c>
      <c r="J6" s="281" t="n">
        <f aca="false">2965D!$O$2</f>
        <v>46067</v>
      </c>
      <c r="K6" s="287" t="b">
        <f aca="false">FALSE()</f>
        <v>0</v>
      </c>
      <c r="L6" s="287" t="b">
        <f aca="false">FALSE()</f>
        <v>0</v>
      </c>
    </row>
    <row r="7" customFormat="false" ht="13.8" hidden="false" customHeight="false" outlineLevel="0" collapsed="false">
      <c r="A7" s="278" t="str">
        <f aca="false">2965D!B15</f>
        <v>Jennings</v>
      </c>
      <c r="B7" s="278" t="str">
        <f aca="false">2965D!C15</f>
        <v>Bojangles</v>
      </c>
      <c r="C7" s="278" t="str">
        <f aca="false">2965D!D15</f>
        <v>GIF</v>
      </c>
      <c r="D7" s="279" t="n">
        <f aca="false">2965D!E15+Formatted[[#This Row],[Date]]</f>
        <v>46067.5034722222</v>
      </c>
      <c r="E7" s="279" t="n">
        <f aca="false">2965D!F15+Formatted[[#This Row],[Date]]</f>
        <v>46067.50625</v>
      </c>
      <c r="F7" s="280" t="n">
        <f aca="false">ROUND((Formatted[[#This Row],[LandingTime]]-Formatted[[#This Row],[TakeOffTime]]) * 1440, 0)</f>
        <v>4</v>
      </c>
      <c r="G7" s="280" t="n">
        <f aca="false">2965D!O15</f>
        <v>1</v>
      </c>
      <c r="H7" s="288" t="b">
        <v>1</v>
      </c>
      <c r="I7" s="278" t="str">
        <f aca="false">2965D!$F$2</f>
        <v>ZE633</v>
      </c>
      <c r="J7" s="281" t="n">
        <f aca="false">2965D!$O$2</f>
        <v>46067</v>
      </c>
      <c r="K7" s="287" t="b">
        <f aca="false">FALSE()</f>
        <v>0</v>
      </c>
      <c r="L7" s="287" t="b">
        <f aca="false">FALSE()</f>
        <v>0</v>
      </c>
    </row>
    <row r="8" customFormat="false" ht="15" hidden="false" customHeight="false" outlineLevel="0" collapsed="false">
      <c r="A8" s="278" t="str">
        <f aca="false">2965D!B16</f>
        <v>Jennings</v>
      </c>
      <c r="B8" s="278" t="str">
        <f aca="false">2965D!C16</f>
        <v>Bloggs</v>
      </c>
      <c r="C8" s="278" t="str">
        <f aca="false">2965D!D16</f>
        <v>AGT</v>
      </c>
      <c r="D8" s="279" t="n">
        <f aca="false">2965D!E16+Formatted[[#This Row],[Date]]</f>
        <v>46067.6263888889</v>
      </c>
      <c r="E8" s="279" t="n">
        <f aca="false">2965D!F16+Formatted[[#This Row],[Date]]</f>
        <v>46067.6291666667</v>
      </c>
      <c r="F8" s="280" t="n">
        <f aca="false">ROUND((Formatted[[#This Row],[LandingTime]]-Formatted[[#This Row],[TakeOffTime]]) * 1440, 0)</f>
        <v>4</v>
      </c>
      <c r="G8" s="280" t="n">
        <f aca="false">2965D!O16</f>
        <v>1</v>
      </c>
      <c r="H8" s="278" t="n">
        <f aca="false">FALSE()</f>
        <v>0</v>
      </c>
      <c r="I8" s="278" t="str">
        <f aca="false">2965D!$F$2</f>
        <v>ZE633</v>
      </c>
      <c r="J8" s="281" t="n">
        <f aca="false">2965D!$O$2</f>
        <v>46067</v>
      </c>
      <c r="K8" s="287" t="b">
        <f aca="false">FALSE()</f>
        <v>0</v>
      </c>
      <c r="L8" s="287" t="b">
        <f aca="false">FALSE()</f>
        <v>0</v>
      </c>
    </row>
    <row r="9" customFormat="false" ht="15" hidden="false" customHeight="false" outlineLevel="0" collapsed="false">
      <c r="A9" s="278" t="str">
        <f aca="false">2965D!B17</f>
        <v>Jennings</v>
      </c>
      <c r="B9" s="278" t="str">
        <f aca="false">2965D!C17</f>
        <v>Bloggs</v>
      </c>
      <c r="C9" s="278" t="str">
        <f aca="false">2965D!D17</f>
        <v>AGT</v>
      </c>
      <c r="D9" s="279" t="n">
        <f aca="false">2965D!E17+Formatted[[#This Row],[Date]]</f>
        <v>46067.6361111111</v>
      </c>
      <c r="E9" s="279" t="n">
        <f aca="false">2965D!F17+Formatted[[#This Row],[Date]]</f>
        <v>46067.6395833333</v>
      </c>
      <c r="F9" s="280" t="n">
        <f aca="false">ROUND((Formatted[[#This Row],[LandingTime]]-Formatted[[#This Row],[TakeOffTime]]) * 1440, 0)</f>
        <v>5</v>
      </c>
      <c r="G9" s="280" t="n">
        <f aca="false">2965D!O17</f>
        <v>1</v>
      </c>
      <c r="H9" s="278" t="n">
        <f aca="false">FALSE()</f>
        <v>0</v>
      </c>
      <c r="I9" s="278" t="str">
        <f aca="false">2965D!$F$2</f>
        <v>ZE633</v>
      </c>
      <c r="J9" s="281" t="n">
        <f aca="false">2965D!$O$2</f>
        <v>46067</v>
      </c>
      <c r="K9" s="287" t="b">
        <f aca="false">FALSE()</f>
        <v>0</v>
      </c>
      <c r="L9" s="287" t="b">
        <f aca="false">FALSE()</f>
        <v>0</v>
      </c>
    </row>
    <row r="10" customFormat="false" ht="15" hidden="false" customHeight="false" outlineLevel="0" collapsed="false">
      <c r="A10" s="278" t="str">
        <f aca="false">2965D!B18</f>
        <v>Jennings</v>
      </c>
      <c r="B10" s="278" t="str">
        <f aca="false">2965D!C18</f>
        <v>Bloggs</v>
      </c>
      <c r="C10" s="278" t="str">
        <f aca="false">2965D!D18</f>
        <v>AGT</v>
      </c>
      <c r="D10" s="279" t="n">
        <f aca="false">2965D!E18+Formatted[[#This Row],[Date]]</f>
        <v>46067.6451388889</v>
      </c>
      <c r="E10" s="279" t="n">
        <f aca="false">2965D!F18+Formatted[[#This Row],[Date]]</f>
        <v>46067.6486111111</v>
      </c>
      <c r="F10" s="280" t="n">
        <f aca="false">ROUND((Formatted[[#This Row],[LandingTime]]-Formatted[[#This Row],[TakeOffTime]]) * 1440, 0)</f>
        <v>5</v>
      </c>
      <c r="G10" s="280" t="n">
        <f aca="false">2965D!O18</f>
        <v>1</v>
      </c>
      <c r="H10" s="278" t="n">
        <f aca="false">FALSE()</f>
        <v>0</v>
      </c>
      <c r="I10" s="278" t="str">
        <f aca="false">2965D!$F$2</f>
        <v>ZE633</v>
      </c>
      <c r="J10" s="281" t="n">
        <f aca="false">2965D!$O$2</f>
        <v>46067</v>
      </c>
      <c r="K10" s="287" t="b">
        <f aca="false">FALSE()</f>
        <v>0</v>
      </c>
      <c r="L10" s="287" t="b">
        <f aca="false">FALSE()</f>
        <v>0</v>
      </c>
    </row>
    <row r="11" customFormat="false" ht="15" hidden="false" customHeight="false" outlineLevel="0" collapsed="false">
      <c r="A11" s="278" t="str">
        <f aca="false">2965D!B19</f>
        <v>Jennings</v>
      </c>
      <c r="B11" s="278" t="str">
        <f aca="false">2965D!C19</f>
        <v>Bloggs</v>
      </c>
      <c r="C11" s="278" t="str">
        <f aca="false">2965D!D19</f>
        <v>AGT</v>
      </c>
      <c r="D11" s="279" t="n">
        <f aca="false">2965D!E19+Formatted[[#This Row],[Date]]</f>
        <v>46067.65625</v>
      </c>
      <c r="E11" s="279" t="n">
        <f aca="false">2965D!F19+Formatted[[#This Row],[Date]]</f>
        <v>46067.6597222222</v>
      </c>
      <c r="F11" s="280" t="n">
        <f aca="false">ROUND((Formatted[[#This Row],[LandingTime]]-Formatted[[#This Row],[TakeOffTime]]) * 1440, 0)</f>
        <v>5</v>
      </c>
      <c r="G11" s="280" t="n">
        <f aca="false">2965D!O19</f>
        <v>1</v>
      </c>
      <c r="H11" s="278" t="n">
        <f aca="false">FALSE()</f>
        <v>0</v>
      </c>
      <c r="I11" s="278" t="str">
        <f aca="false">2965D!$F$2</f>
        <v>ZE633</v>
      </c>
      <c r="J11" s="281" t="n">
        <f aca="false">2965D!$O$2</f>
        <v>46067</v>
      </c>
      <c r="K11" s="287" t="b">
        <f aca="false">FALSE()</f>
        <v>0</v>
      </c>
      <c r="L11" s="287" t="b">
        <f aca="false">FALSE()</f>
        <v>0</v>
      </c>
    </row>
    <row r="12" customFormat="false" ht="15" hidden="false" customHeight="false" outlineLevel="0" collapsed="false">
      <c r="A12" s="278" t="str">
        <f aca="false">2965D!B20</f>
        <v>Abbott</v>
      </c>
      <c r="B12" s="278" t="str">
        <f aca="false">2965D!C20</f>
        <v>Bloggs</v>
      </c>
      <c r="C12" s="278" t="str">
        <f aca="false">2965D!D20</f>
        <v>SCT QGI</v>
      </c>
      <c r="D12" s="279" t="n">
        <f aca="false">2965D!E20+Formatted[[#This Row],[Date]]</f>
        <v>46067.66875</v>
      </c>
      <c r="E12" s="279" t="n">
        <f aca="false">2965D!F20+Formatted[[#This Row],[Date]]</f>
        <v>46067.6722222222</v>
      </c>
      <c r="F12" s="280" t="n">
        <f aca="false">ROUND((Formatted[[#This Row],[LandingTime]]-Formatted[[#This Row],[TakeOffTime]]) * 1440, 0)</f>
        <v>5</v>
      </c>
      <c r="G12" s="280" t="n">
        <f aca="false">2965D!O20</f>
        <v>1</v>
      </c>
      <c r="H12" s="278" t="n">
        <f aca="false">FALSE()</f>
        <v>0</v>
      </c>
      <c r="I12" s="278" t="str">
        <f aca="false">2965D!$F$2</f>
        <v>ZE633</v>
      </c>
      <c r="J12" s="281" t="n">
        <f aca="false">2965D!$O$2</f>
        <v>46067</v>
      </c>
      <c r="K12" s="287" t="b">
        <v>1</v>
      </c>
      <c r="L12" s="287" t="b">
        <v>0</v>
      </c>
    </row>
    <row r="13" customFormat="false" ht="15" hidden="false" customHeight="false" outlineLevel="0" collapsed="false">
      <c r="A13" s="278" t="str">
        <f aca="false">2965D!B21</f>
        <v>Abbott</v>
      </c>
      <c r="B13" s="278" t="str">
        <f aca="false">2965D!C21</f>
        <v>Bloggs</v>
      </c>
      <c r="C13" s="278" t="str">
        <f aca="false">2965D!D21</f>
        <v>SCT U/T</v>
      </c>
      <c r="D13" s="279" t="n">
        <f aca="false">2965D!E21+Formatted[[#This Row],[Date]]</f>
        <v>46067.6805555556</v>
      </c>
      <c r="E13" s="279" t="n">
        <f aca="false">2965D!F21+Formatted[[#This Row],[Date]]</f>
        <v>46067.6840277778</v>
      </c>
      <c r="F13" s="280" t="n">
        <f aca="false">ROUND((Formatted[[#This Row],[LandingTime]]-Formatted[[#This Row],[TakeOffTime]]) * 1440, 0)</f>
        <v>5</v>
      </c>
      <c r="G13" s="280" t="n">
        <f aca="false">2965D!O21</f>
        <v>1</v>
      </c>
      <c r="H13" s="278" t="n">
        <f aca="false">FALSE()</f>
        <v>0</v>
      </c>
      <c r="I13" s="278" t="str">
        <f aca="false">2965D!$F$2</f>
        <v>ZE633</v>
      </c>
      <c r="J13" s="281" t="n">
        <f aca="false">2965D!$O$2</f>
        <v>46067</v>
      </c>
      <c r="K13" s="287" t="b">
        <f aca="false">FALSE()</f>
        <v>0</v>
      </c>
      <c r="L13" s="287" t="b">
        <v>1</v>
      </c>
    </row>
    <row r="14" customFormat="false" ht="15" hidden="false" customHeight="false" outlineLevel="0" collapsed="false">
      <c r="A14" s="278" t="str">
        <f aca="false">2965D!B22</f>
        <v>Abbott</v>
      </c>
      <c r="B14" s="278" t="str">
        <f aca="false">2965D!C22</f>
        <v>Bloggs</v>
      </c>
      <c r="C14" s="278" t="str">
        <f aca="false">2965D!D22</f>
        <v>PAX</v>
      </c>
      <c r="D14" s="279" t="n">
        <f aca="false">2965D!E22+Formatted[[#This Row],[Date]]</f>
        <v>46067.6902777778</v>
      </c>
      <c r="E14" s="279" t="n">
        <f aca="false">2965D!F22+Formatted[[#This Row],[Date]]</f>
        <v>46067.6930555556</v>
      </c>
      <c r="F14" s="280" t="n">
        <f aca="false">ROUND((Formatted[[#This Row],[LandingTime]]-Formatted[[#This Row],[TakeOffTime]]) * 1440, 0)</f>
        <v>4</v>
      </c>
      <c r="G14" s="280" t="n">
        <f aca="false">2965D!O22</f>
        <v>1</v>
      </c>
      <c r="H14" s="278" t="n">
        <f aca="false">FALSE()</f>
        <v>0</v>
      </c>
      <c r="I14" s="278" t="str">
        <f aca="false">2965D!$F$2</f>
        <v>ZE633</v>
      </c>
      <c r="J14" s="281" t="n">
        <f aca="false">2965D!$O$2</f>
        <v>46067</v>
      </c>
      <c r="K14" s="287" t="b">
        <f aca="false">FALSE()</f>
        <v>0</v>
      </c>
      <c r="L14" s="287" t="b">
        <f aca="false">FALSE()</f>
        <v>0</v>
      </c>
    </row>
    <row r="15" customFormat="false" ht="15" hidden="false" customHeight="false" outlineLevel="0" collapsed="false">
      <c r="A15" s="278" t="n">
        <f aca="false">2965D!B23</f>
        <v>0</v>
      </c>
      <c r="B15" s="278" t="n">
        <f aca="false">2965D!C23</f>
        <v>0</v>
      </c>
      <c r="C15" s="278" t="n">
        <f aca="false">2965D!D23</f>
        <v>0</v>
      </c>
      <c r="D15" s="279" t="n">
        <f aca="false">2965D!E23+Formatted[[#This Row],[Date]]</f>
        <v>46067</v>
      </c>
      <c r="E15" s="279" t="n">
        <f aca="false">2965D!F23+Formatted[[#This Row],[Date]]</f>
        <v>46067</v>
      </c>
      <c r="F15" s="280" t="n">
        <f aca="false">ROUND((Formatted[[#This Row],[LandingTime]]-Formatted[[#This Row],[TakeOffTime]]) * 1440, 0)</f>
        <v>0</v>
      </c>
      <c r="G15" s="280" t="str">
        <f aca="false">2965D!O23</f>
        <v/>
      </c>
      <c r="H15" s="278" t="n">
        <f aca="false">FALSE()</f>
        <v>0</v>
      </c>
      <c r="I15" s="278" t="str">
        <f aca="false">2965D!$F$2</f>
        <v>ZE633</v>
      </c>
      <c r="J15" s="281" t="n">
        <f aca="false">2965D!$O$2</f>
        <v>46067</v>
      </c>
      <c r="K15" s="287" t="b">
        <f aca="false">FALSE()</f>
        <v>0</v>
      </c>
      <c r="L15" s="287" t="b">
        <f aca="false">FALSE()</f>
        <v>0</v>
      </c>
    </row>
    <row r="16" customFormat="false" ht="15" hidden="false" customHeight="false" outlineLevel="0" collapsed="false">
      <c r="A16" s="278" t="n">
        <f aca="false">2965D!B24</f>
        <v>0</v>
      </c>
      <c r="B16" s="278" t="n">
        <f aca="false">2965D!C24</f>
        <v>0</v>
      </c>
      <c r="C16" s="278" t="n">
        <f aca="false">2965D!D24</f>
        <v>0</v>
      </c>
      <c r="D16" s="279" t="n">
        <f aca="false">2965D!E24+Formatted[[#This Row],[Date]]</f>
        <v>46067</v>
      </c>
      <c r="E16" s="279" t="n">
        <f aca="false">2965D!F24+Formatted[[#This Row],[Date]]</f>
        <v>46067</v>
      </c>
      <c r="F16" s="280" t="n">
        <f aca="false">ROUND((Formatted[[#This Row],[LandingTime]]-Formatted[[#This Row],[TakeOffTime]]) * 1440, 0)</f>
        <v>0</v>
      </c>
      <c r="G16" s="280" t="str">
        <f aca="false">2965D!O24</f>
        <v/>
      </c>
      <c r="H16" s="278" t="n">
        <f aca="false">FALSE()</f>
        <v>0</v>
      </c>
      <c r="I16" s="278" t="str">
        <f aca="false">2965D!$F$2</f>
        <v>ZE633</v>
      </c>
      <c r="J16" s="281" t="n">
        <f aca="false">2965D!$O$2</f>
        <v>46067</v>
      </c>
      <c r="K16" s="287" t="b">
        <f aca="false">FALSE()</f>
        <v>0</v>
      </c>
      <c r="L16" s="287" t="b">
        <f aca="false">FALSE()</f>
        <v>0</v>
      </c>
    </row>
    <row r="17" customFormat="false" ht="15" hidden="false" customHeight="false" outlineLevel="0" collapsed="false">
      <c r="A17" s="278" t="n">
        <f aca="false">2965D!B25</f>
        <v>0</v>
      </c>
      <c r="B17" s="278" t="n">
        <f aca="false">2965D!C25</f>
        <v>0</v>
      </c>
      <c r="C17" s="278" t="n">
        <f aca="false">2965D!D25</f>
        <v>0</v>
      </c>
      <c r="D17" s="279" t="n">
        <f aca="false">2965D!E25+Formatted[[#This Row],[Date]]</f>
        <v>46067</v>
      </c>
      <c r="E17" s="279" t="n">
        <f aca="false">2965D!F25+Formatted[[#This Row],[Date]]</f>
        <v>46067</v>
      </c>
      <c r="F17" s="280" t="n">
        <f aca="false">ROUND((Formatted[[#This Row],[LandingTime]]-Formatted[[#This Row],[TakeOffTime]]) * 1440, 0)</f>
        <v>0</v>
      </c>
      <c r="G17" s="280" t="str">
        <f aca="false">2965D!O25</f>
        <v/>
      </c>
      <c r="H17" s="278" t="n">
        <f aca="false">FALSE()</f>
        <v>0</v>
      </c>
      <c r="I17" s="278" t="str">
        <f aca="false">2965D!$F$2</f>
        <v>ZE633</v>
      </c>
      <c r="J17" s="281" t="n">
        <f aca="false">2965D!$O$2</f>
        <v>46067</v>
      </c>
      <c r="K17" s="287" t="b">
        <f aca="false">FALSE()</f>
        <v>0</v>
      </c>
      <c r="L17" s="287" t="b">
        <f aca="false">FALSE()</f>
        <v>0</v>
      </c>
    </row>
    <row r="18" customFormat="false" ht="15" hidden="false" customHeight="false" outlineLevel="0" collapsed="false">
      <c r="A18" s="278" t="n">
        <f aca="false">2965D!B26</f>
        <v>0</v>
      </c>
      <c r="B18" s="278" t="n">
        <f aca="false">2965D!C26</f>
        <v>0</v>
      </c>
      <c r="C18" s="278" t="n">
        <f aca="false">2965D!D26</f>
        <v>0</v>
      </c>
      <c r="D18" s="279" t="n">
        <f aca="false">2965D!E26+Formatted[[#This Row],[Date]]</f>
        <v>46067</v>
      </c>
      <c r="E18" s="279" t="n">
        <f aca="false">2965D!F26+Formatted[[#This Row],[Date]]</f>
        <v>46067</v>
      </c>
      <c r="F18" s="280" t="n">
        <f aca="false">ROUND((Formatted[[#This Row],[LandingTime]]-Formatted[[#This Row],[TakeOffTime]]) * 1440, 0)</f>
        <v>0</v>
      </c>
      <c r="G18" s="280" t="str">
        <f aca="false">2965D!O26</f>
        <v/>
      </c>
      <c r="H18" s="278" t="n">
        <f aca="false">FALSE()</f>
        <v>0</v>
      </c>
      <c r="I18" s="278" t="str">
        <f aca="false">2965D!$F$2</f>
        <v>ZE633</v>
      </c>
      <c r="J18" s="281" t="n">
        <f aca="false">2965D!$O$2</f>
        <v>46067</v>
      </c>
      <c r="K18" s="287" t="b">
        <f aca="false">FALSE()</f>
        <v>0</v>
      </c>
      <c r="L18" s="287" t="b">
        <f aca="false">FALSE()</f>
        <v>0</v>
      </c>
    </row>
    <row r="19" customFormat="false" ht="15" hidden="false" customHeight="false" outlineLevel="0" collapsed="false">
      <c r="A19" s="278" t="n">
        <f aca="false">2965D!B27</f>
        <v>0</v>
      </c>
      <c r="B19" s="278" t="n">
        <f aca="false">2965D!C27</f>
        <v>0</v>
      </c>
      <c r="C19" s="278" t="n">
        <f aca="false">2965D!D27</f>
        <v>0</v>
      </c>
      <c r="D19" s="279" t="n">
        <f aca="false">2965D!E27+Formatted[[#This Row],[Date]]</f>
        <v>46067</v>
      </c>
      <c r="E19" s="279" t="n">
        <f aca="false">2965D!F27+Formatted[[#This Row],[Date]]</f>
        <v>46067</v>
      </c>
      <c r="F19" s="280" t="n">
        <f aca="false">ROUND((Formatted[[#This Row],[LandingTime]]-Formatted[[#This Row],[TakeOffTime]]) * 1440, 0)</f>
        <v>0</v>
      </c>
      <c r="G19" s="280" t="str">
        <f aca="false">2965D!O27</f>
        <v/>
      </c>
      <c r="H19" s="278" t="n">
        <f aca="false">FALSE()</f>
        <v>0</v>
      </c>
      <c r="I19" s="278" t="str">
        <f aca="false">2965D!$F$2</f>
        <v>ZE633</v>
      </c>
      <c r="J19" s="281" t="n">
        <f aca="false">2965D!$O$2</f>
        <v>46067</v>
      </c>
      <c r="K19" s="287" t="b">
        <f aca="false">FALSE()</f>
        <v>0</v>
      </c>
      <c r="L19" s="287" t="b">
        <f aca="false">FALSE()</f>
        <v>0</v>
      </c>
    </row>
    <row r="20" customFormat="false" ht="15" hidden="false" customHeight="false" outlineLevel="0" collapsed="false">
      <c r="A20" s="278" t="n">
        <f aca="false">2965D!B28</f>
        <v>0</v>
      </c>
      <c r="B20" s="278" t="n">
        <f aca="false">2965D!C28</f>
        <v>0</v>
      </c>
      <c r="C20" s="278" t="n">
        <f aca="false">2965D!D28</f>
        <v>0</v>
      </c>
      <c r="D20" s="279" t="n">
        <f aca="false">2965D!E28+Formatted[[#This Row],[Date]]</f>
        <v>46067</v>
      </c>
      <c r="E20" s="279" t="n">
        <f aca="false">2965D!F28+Formatted[[#This Row],[Date]]</f>
        <v>46067</v>
      </c>
      <c r="F20" s="280" t="n">
        <f aca="false">ROUND((Formatted[[#This Row],[LandingTime]]-Formatted[[#This Row],[TakeOffTime]]) * 1440, 0)</f>
        <v>0</v>
      </c>
      <c r="G20" s="280" t="str">
        <f aca="false">2965D!O28</f>
        <v/>
      </c>
      <c r="H20" s="278" t="n">
        <f aca="false">FALSE()</f>
        <v>0</v>
      </c>
      <c r="I20" s="278" t="str">
        <f aca="false">2965D!$F$2</f>
        <v>ZE633</v>
      </c>
      <c r="J20" s="281" t="n">
        <f aca="false">2965D!$O$2</f>
        <v>46067</v>
      </c>
      <c r="K20" s="287" t="b">
        <f aca="false">FALSE()</f>
        <v>0</v>
      </c>
      <c r="L20" s="287" t="b">
        <f aca="false">FALSE()</f>
        <v>0</v>
      </c>
    </row>
    <row r="21" customFormat="false" ht="15" hidden="false" customHeight="false" outlineLevel="0" collapsed="false">
      <c r="A21" s="278" t="n">
        <f aca="false">2965D!B29</f>
        <v>0</v>
      </c>
      <c r="B21" s="278" t="n">
        <f aca="false">2965D!C29</f>
        <v>0</v>
      </c>
      <c r="C21" s="278" t="n">
        <f aca="false">2965D!D29</f>
        <v>0</v>
      </c>
      <c r="D21" s="279" t="n">
        <f aca="false">2965D!E29+Formatted[[#This Row],[Date]]</f>
        <v>46067</v>
      </c>
      <c r="E21" s="279" t="n">
        <f aca="false">2965D!F29+Formatted[[#This Row],[Date]]</f>
        <v>46067</v>
      </c>
      <c r="F21" s="280" t="n">
        <f aca="false">ROUND((Formatted[[#This Row],[LandingTime]]-Formatted[[#This Row],[TakeOffTime]]) * 1440, 0)</f>
        <v>0</v>
      </c>
      <c r="G21" s="280" t="str">
        <f aca="false">2965D!O29</f>
        <v/>
      </c>
      <c r="H21" s="278" t="n">
        <f aca="false">FALSE()</f>
        <v>0</v>
      </c>
      <c r="I21" s="278" t="str">
        <f aca="false">2965D!$F$2</f>
        <v>ZE633</v>
      </c>
      <c r="J21" s="281" t="n">
        <f aca="false">2965D!$O$2</f>
        <v>46067</v>
      </c>
      <c r="K21" s="287" t="b">
        <f aca="false">FALSE()</f>
        <v>0</v>
      </c>
      <c r="L21" s="287" t="b">
        <f aca="false">FALSE()</f>
        <v>0</v>
      </c>
    </row>
    <row r="22" customFormat="false" ht="15" hidden="false" customHeight="false" outlineLevel="0" collapsed="false">
      <c r="A22" s="278" t="n">
        <f aca="false">2965D!B30</f>
        <v>0</v>
      </c>
      <c r="B22" s="278" t="n">
        <f aca="false">2965D!C30</f>
        <v>0</v>
      </c>
      <c r="C22" s="278" t="n">
        <f aca="false">2965D!D30</f>
        <v>0</v>
      </c>
      <c r="D22" s="279" t="n">
        <f aca="false">2965D!E30+Formatted[[#This Row],[Date]]</f>
        <v>46067</v>
      </c>
      <c r="E22" s="279" t="n">
        <f aca="false">2965D!F30+Formatted[[#This Row],[Date]]</f>
        <v>46067</v>
      </c>
      <c r="F22" s="280" t="n">
        <f aca="false">ROUND((Formatted[[#This Row],[LandingTime]]-Formatted[[#This Row],[TakeOffTime]]) * 1440, 0)</f>
        <v>0</v>
      </c>
      <c r="G22" s="280" t="str">
        <f aca="false">2965D!O30</f>
        <v/>
      </c>
      <c r="H22" s="278" t="n">
        <f aca="false">FALSE()</f>
        <v>0</v>
      </c>
      <c r="I22" s="278" t="str">
        <f aca="false">2965D!$F$2</f>
        <v>ZE633</v>
      </c>
      <c r="J22" s="281" t="n">
        <f aca="false">2965D!$O$2</f>
        <v>46067</v>
      </c>
      <c r="K22" s="287" t="b">
        <f aca="false">FALSE()</f>
        <v>0</v>
      </c>
      <c r="L22" s="287" t="b">
        <f aca="false">FALSE()</f>
        <v>0</v>
      </c>
    </row>
    <row r="23" customFormat="false" ht="15" hidden="false" customHeight="false" outlineLevel="0" collapsed="false">
      <c r="A23" s="278" t="n">
        <f aca="false">2965D!B31</f>
        <v>0</v>
      </c>
      <c r="B23" s="278" t="n">
        <f aca="false">2965D!C31</f>
        <v>0</v>
      </c>
      <c r="C23" s="278" t="n">
        <f aca="false">2965D!D31</f>
        <v>0</v>
      </c>
      <c r="D23" s="279" t="n">
        <f aca="false">2965D!E31+Formatted[[#This Row],[Date]]</f>
        <v>46067</v>
      </c>
      <c r="E23" s="279" t="n">
        <f aca="false">2965D!F31+Formatted[[#This Row],[Date]]</f>
        <v>46067</v>
      </c>
      <c r="F23" s="280" t="n">
        <f aca="false">ROUND((Formatted[[#This Row],[LandingTime]]-Formatted[[#This Row],[TakeOffTime]]) * 1440, 0)</f>
        <v>0</v>
      </c>
      <c r="G23" s="280" t="str">
        <f aca="false">2965D!O31</f>
        <v/>
      </c>
      <c r="H23" s="278" t="n">
        <f aca="false">FALSE()</f>
        <v>0</v>
      </c>
      <c r="I23" s="278" t="str">
        <f aca="false">2965D!$F$2</f>
        <v>ZE633</v>
      </c>
      <c r="J23" s="281" t="n">
        <f aca="false">2965D!$O$2</f>
        <v>46067</v>
      </c>
      <c r="K23" s="287" t="b">
        <f aca="false">FALSE()</f>
        <v>0</v>
      </c>
      <c r="L23" s="287" t="b">
        <f aca="false">FALSE()</f>
        <v>0</v>
      </c>
    </row>
    <row r="24" customFormat="false" ht="15" hidden="false" customHeight="false" outlineLevel="0" collapsed="false">
      <c r="A24" s="278" t="n">
        <f aca="false">2965D!B32</f>
        <v>0</v>
      </c>
      <c r="B24" s="278" t="n">
        <f aca="false">2965D!C32</f>
        <v>0</v>
      </c>
      <c r="C24" s="278" t="n">
        <f aca="false">2965D!D32</f>
        <v>0</v>
      </c>
      <c r="D24" s="279" t="n">
        <f aca="false">2965D!E32+Formatted[[#This Row],[Date]]</f>
        <v>46067</v>
      </c>
      <c r="E24" s="279" t="n">
        <f aca="false">2965D!F32+Formatted[[#This Row],[Date]]</f>
        <v>46067</v>
      </c>
      <c r="F24" s="280" t="n">
        <f aca="false">ROUND((Formatted[[#This Row],[LandingTime]]-Formatted[[#This Row],[TakeOffTime]]) * 1440, 0)</f>
        <v>0</v>
      </c>
      <c r="G24" s="280" t="str">
        <f aca="false">2965D!O32</f>
        <v/>
      </c>
      <c r="H24" s="278" t="n">
        <f aca="false">FALSE()</f>
        <v>0</v>
      </c>
      <c r="I24" s="278" t="str">
        <f aca="false">2965D!$F$2</f>
        <v>ZE633</v>
      </c>
      <c r="J24" s="281" t="n">
        <f aca="false">2965D!$O$2</f>
        <v>46067</v>
      </c>
      <c r="K24" s="287" t="b">
        <f aca="false">FALSE()</f>
        <v>0</v>
      </c>
      <c r="L24" s="287" t="b">
        <f aca="false">FALSE()</f>
        <v>0</v>
      </c>
    </row>
    <row r="25" customFormat="false" ht="15" hidden="false" customHeight="false" outlineLevel="0" collapsed="false">
      <c r="A25" s="278" t="n">
        <f aca="false">2965D!B33</f>
        <v>0</v>
      </c>
      <c r="B25" s="278" t="n">
        <f aca="false">2965D!C33</f>
        <v>0</v>
      </c>
      <c r="C25" s="278" t="n">
        <f aca="false">2965D!D33</f>
        <v>0</v>
      </c>
      <c r="D25" s="279" t="n">
        <f aca="false">2965D!E33+Formatted[[#This Row],[Date]]</f>
        <v>46067</v>
      </c>
      <c r="E25" s="279" t="n">
        <f aca="false">2965D!F33+Formatted[[#This Row],[Date]]</f>
        <v>46067</v>
      </c>
      <c r="F25" s="280" t="n">
        <f aca="false">ROUND((Formatted[[#This Row],[LandingTime]]-Formatted[[#This Row],[TakeOffTime]]) * 1440, 0)</f>
        <v>0</v>
      </c>
      <c r="G25" s="280" t="str">
        <f aca="false">2965D!O33</f>
        <v/>
      </c>
      <c r="H25" s="278" t="n">
        <f aca="false">FALSE()</f>
        <v>0</v>
      </c>
      <c r="I25" s="278" t="str">
        <f aca="false">2965D!$F$2</f>
        <v>ZE633</v>
      </c>
      <c r="J25" s="281" t="n">
        <f aca="false">2965D!$O$2</f>
        <v>46067</v>
      </c>
      <c r="K25" s="287" t="b">
        <f aca="false">FALSE()</f>
        <v>0</v>
      </c>
      <c r="L25" s="287" t="b">
        <f aca="false">FALSE()</f>
        <v>0</v>
      </c>
    </row>
    <row r="26" customFormat="false" ht="15" hidden="false" customHeight="false" outlineLevel="0" collapsed="false">
      <c r="A26" s="278" t="n">
        <f aca="false">2965D!B34</f>
        <v>0</v>
      </c>
      <c r="B26" s="278" t="n">
        <f aca="false">2965D!C34</f>
        <v>0</v>
      </c>
      <c r="C26" s="278" t="n">
        <f aca="false">2965D!D34</f>
        <v>0</v>
      </c>
      <c r="D26" s="279" t="n">
        <f aca="false">2965D!E34+Formatted[[#This Row],[Date]]</f>
        <v>46067</v>
      </c>
      <c r="E26" s="279" t="n">
        <f aca="false">2965D!F34+Formatted[[#This Row],[Date]]</f>
        <v>46067</v>
      </c>
      <c r="F26" s="280" t="n">
        <f aca="false">ROUND((Formatted[[#This Row],[LandingTime]]-Formatted[[#This Row],[TakeOffTime]]) * 1440, 0)</f>
        <v>0</v>
      </c>
      <c r="G26" s="280" t="str">
        <f aca="false">2965D!O34</f>
        <v/>
      </c>
      <c r="H26" s="278" t="n">
        <f aca="false">FALSE()</f>
        <v>0</v>
      </c>
      <c r="I26" s="278" t="str">
        <f aca="false">2965D!$F$2</f>
        <v>ZE633</v>
      </c>
      <c r="J26" s="281" t="n">
        <f aca="false">2965D!$O$2</f>
        <v>46067</v>
      </c>
      <c r="K26" s="287" t="b">
        <f aca="false">FALSE()</f>
        <v>0</v>
      </c>
      <c r="L26" s="287" t="b">
        <f aca="false">FALSE()</f>
        <v>0</v>
      </c>
    </row>
    <row r="27" customFormat="false" ht="15" hidden="false" customHeight="false" outlineLevel="0" collapsed="false">
      <c r="A27" s="278" t="n">
        <f aca="false">2965D!B35</f>
        <v>0</v>
      </c>
      <c r="B27" s="278" t="n">
        <f aca="false">2965D!C35</f>
        <v>0</v>
      </c>
      <c r="C27" s="278" t="n">
        <f aca="false">2965D!D35</f>
        <v>0</v>
      </c>
      <c r="D27" s="279" t="n">
        <f aca="false">2965D!E35+Formatted[[#This Row],[Date]]</f>
        <v>46067</v>
      </c>
      <c r="E27" s="279" t="n">
        <f aca="false">2965D!F35+Formatted[[#This Row],[Date]]</f>
        <v>46067</v>
      </c>
      <c r="F27" s="280" t="n">
        <f aca="false">ROUND((Formatted[[#This Row],[LandingTime]]-Formatted[[#This Row],[TakeOffTime]]) * 1440, 0)</f>
        <v>0</v>
      </c>
      <c r="G27" s="280" t="str">
        <f aca="false">2965D!O35</f>
        <v/>
      </c>
      <c r="H27" s="278" t="n">
        <f aca="false">FALSE()</f>
        <v>0</v>
      </c>
      <c r="I27" s="278" t="str">
        <f aca="false">2965D!$F$2</f>
        <v>ZE633</v>
      </c>
      <c r="J27" s="281" t="n">
        <f aca="false">2965D!$O$2</f>
        <v>46067</v>
      </c>
      <c r="K27" s="287" t="b">
        <f aca="false">FALSE()</f>
        <v>0</v>
      </c>
      <c r="L27" s="287" t="b">
        <f aca="false">FALSE()</f>
        <v>0</v>
      </c>
    </row>
    <row r="28" customFormat="false" ht="15" hidden="false" customHeight="false" outlineLevel="0" collapsed="false">
      <c r="A28" s="278" t="n">
        <f aca="false">2965D!B36</f>
        <v>0</v>
      </c>
      <c r="B28" s="278" t="n">
        <f aca="false">2965D!C36</f>
        <v>0</v>
      </c>
      <c r="C28" s="278" t="n">
        <f aca="false">2965D!D36</f>
        <v>0</v>
      </c>
      <c r="D28" s="279" t="n">
        <f aca="false">2965D!E36+Formatted[[#This Row],[Date]]</f>
        <v>46067</v>
      </c>
      <c r="E28" s="279" t="n">
        <f aca="false">2965D!F36+Formatted[[#This Row],[Date]]</f>
        <v>46067</v>
      </c>
      <c r="F28" s="280" t="n">
        <f aca="false">ROUND((Formatted[[#This Row],[LandingTime]]-Formatted[[#This Row],[TakeOffTime]]) * 1440, 0)</f>
        <v>0</v>
      </c>
      <c r="G28" s="280" t="str">
        <f aca="false">2965D!O36</f>
        <v/>
      </c>
      <c r="H28" s="278" t="n">
        <f aca="false">FALSE()</f>
        <v>0</v>
      </c>
      <c r="I28" s="278" t="str">
        <f aca="false">2965D!$F$2</f>
        <v>ZE633</v>
      </c>
      <c r="J28" s="281" t="n">
        <f aca="false">2965D!$O$2</f>
        <v>46067</v>
      </c>
      <c r="K28" s="287" t="b">
        <f aca="false">FALSE()</f>
        <v>0</v>
      </c>
      <c r="L28" s="287" t="b">
        <f aca="false">FALSE()</f>
        <v>0</v>
      </c>
    </row>
    <row r="29" customFormat="false" ht="15" hidden="false" customHeight="false" outlineLevel="0" collapsed="false">
      <c r="A29" s="278" t="n">
        <f aca="false">2965D!B37</f>
        <v>0</v>
      </c>
      <c r="B29" s="278" t="n">
        <f aca="false">2965D!C37</f>
        <v>0</v>
      </c>
      <c r="C29" s="278" t="n">
        <f aca="false">2965D!D37</f>
        <v>0</v>
      </c>
      <c r="D29" s="279" t="n">
        <f aca="false">2965D!E37+Formatted[[#This Row],[Date]]</f>
        <v>46067</v>
      </c>
      <c r="E29" s="279" t="n">
        <f aca="false">2965D!F37+Formatted[[#This Row],[Date]]</f>
        <v>46067</v>
      </c>
      <c r="F29" s="280" t="n">
        <f aca="false">ROUND((Formatted[[#This Row],[LandingTime]]-Formatted[[#This Row],[TakeOffTime]]) * 1440, 0)</f>
        <v>0</v>
      </c>
      <c r="G29" s="280" t="str">
        <f aca="false">2965D!O37</f>
        <v/>
      </c>
      <c r="H29" s="278" t="n">
        <f aca="false">FALSE()</f>
        <v>0</v>
      </c>
      <c r="I29" s="278" t="str">
        <f aca="false">2965D!$F$2</f>
        <v>ZE633</v>
      </c>
      <c r="J29" s="281" t="n">
        <f aca="false">2965D!$O$2</f>
        <v>46067</v>
      </c>
      <c r="K29" s="287" t="b">
        <f aca="false">FALSE()</f>
        <v>0</v>
      </c>
      <c r="L29" s="287" t="b">
        <f aca="false">FALSE()</f>
        <v>0</v>
      </c>
    </row>
    <row r="30" customFormat="false" ht="15" hidden="false" customHeight="false" outlineLevel="0" collapsed="false">
      <c r="A30" s="278" t="n">
        <f aca="false">2965D!B38</f>
        <v>0</v>
      </c>
      <c r="B30" s="278" t="n">
        <f aca="false">2965D!C38</f>
        <v>0</v>
      </c>
      <c r="C30" s="278" t="n">
        <f aca="false">2965D!D38</f>
        <v>0</v>
      </c>
      <c r="D30" s="279" t="n">
        <f aca="false">2965D!E38+Formatted[[#This Row],[Date]]</f>
        <v>46067</v>
      </c>
      <c r="E30" s="279" t="n">
        <f aca="false">2965D!F38+Formatted[[#This Row],[Date]]</f>
        <v>46067</v>
      </c>
      <c r="F30" s="280" t="n">
        <f aca="false">ROUND((Formatted[[#This Row],[LandingTime]]-Formatted[[#This Row],[TakeOffTime]]) * 1440, 0)</f>
        <v>0</v>
      </c>
      <c r="G30" s="280" t="str">
        <f aca="false">2965D!O38</f>
        <v/>
      </c>
      <c r="H30" s="278" t="n">
        <f aca="false">FALSE()</f>
        <v>0</v>
      </c>
      <c r="I30" s="278" t="str">
        <f aca="false">2965D!$F$2</f>
        <v>ZE633</v>
      </c>
      <c r="J30" s="281" t="n">
        <f aca="false">2965D!$O$2</f>
        <v>46067</v>
      </c>
      <c r="K30" s="287" t="b">
        <f aca="false">FALSE()</f>
        <v>0</v>
      </c>
      <c r="L30" s="287" t="b">
        <f aca="false">FALSE()</f>
        <v>0</v>
      </c>
    </row>
    <row r="31" customFormat="false" ht="15" hidden="false" customHeight="false" outlineLevel="0" collapsed="false">
      <c r="A31" s="278" t="n">
        <f aca="false">2965D!B39</f>
        <v>0</v>
      </c>
      <c r="B31" s="278" t="n">
        <f aca="false">2965D!C39</f>
        <v>0</v>
      </c>
      <c r="C31" s="278" t="n">
        <f aca="false">2965D!D39</f>
        <v>0</v>
      </c>
      <c r="D31" s="279" t="n">
        <f aca="false">2965D!E39+Formatted[[#This Row],[Date]]</f>
        <v>46067</v>
      </c>
      <c r="E31" s="279" t="n">
        <f aca="false">2965D!F39+Formatted[[#This Row],[Date]]</f>
        <v>46067</v>
      </c>
      <c r="F31" s="280" t="n">
        <f aca="false">ROUND((Formatted[[#This Row],[LandingTime]]-Formatted[[#This Row],[TakeOffTime]]) * 1440, 0)</f>
        <v>0</v>
      </c>
      <c r="G31" s="280" t="str">
        <f aca="false">2965D!O39</f>
        <v/>
      </c>
      <c r="H31" s="278" t="n">
        <f aca="false">FALSE()</f>
        <v>0</v>
      </c>
      <c r="I31" s="278" t="str">
        <f aca="false">2965D!$F$2</f>
        <v>ZE633</v>
      </c>
      <c r="J31" s="281" t="n">
        <f aca="false">2965D!$O$2</f>
        <v>46067</v>
      </c>
      <c r="K31" s="287" t="b">
        <f aca="false">FALSE()</f>
        <v>0</v>
      </c>
      <c r="L31" s="287" t="b">
        <f aca="false">FALSE()</f>
        <v>0</v>
      </c>
    </row>
    <row r="32" customFormat="false" ht="15" hidden="false" customHeight="false" outlineLevel="0" collapsed="false">
      <c r="A32" s="278" t="n">
        <f aca="false">2965D!B40</f>
        <v>0</v>
      </c>
      <c r="B32" s="278" t="n">
        <f aca="false">2965D!C40</f>
        <v>0</v>
      </c>
      <c r="C32" s="278" t="n">
        <f aca="false">2965D!D40</f>
        <v>0</v>
      </c>
      <c r="D32" s="279" t="n">
        <f aca="false">2965D!E40+Formatted[[#This Row],[Date]]</f>
        <v>46067</v>
      </c>
      <c r="E32" s="279" t="n">
        <f aca="false">2965D!F40+Formatted[[#This Row],[Date]]</f>
        <v>46067</v>
      </c>
      <c r="F32" s="280" t="n">
        <f aca="false">ROUND((Formatted[[#This Row],[LandingTime]]-Formatted[[#This Row],[TakeOffTime]]) * 1440, 0)</f>
        <v>0</v>
      </c>
      <c r="G32" s="280" t="str">
        <f aca="false">2965D!O40</f>
        <v/>
      </c>
      <c r="H32" s="278" t="n">
        <f aca="false">FALSE()</f>
        <v>0</v>
      </c>
      <c r="I32" s="278" t="str">
        <f aca="false">2965D!$F$2</f>
        <v>ZE633</v>
      </c>
      <c r="J32" s="281" t="n">
        <f aca="false">2965D!$O$2</f>
        <v>46067</v>
      </c>
      <c r="K32" s="287" t="b">
        <f aca="false">FALSE()</f>
        <v>0</v>
      </c>
      <c r="L32" s="287" t="b">
        <f aca="false">FALSE()</f>
        <v>0</v>
      </c>
    </row>
    <row r="33" customFormat="false" ht="15" hidden="false" customHeight="false" outlineLevel="0" collapsed="false">
      <c r="A33" s="278" t="n">
        <f aca="false">2965D!B41</f>
        <v>0</v>
      </c>
      <c r="B33" s="278" t="n">
        <f aca="false">2965D!C41</f>
        <v>0</v>
      </c>
      <c r="C33" s="278" t="n">
        <f aca="false">2965D!D41</f>
        <v>0</v>
      </c>
      <c r="D33" s="279" t="n">
        <f aca="false">2965D!E41+Formatted[[#This Row],[Date]]</f>
        <v>46067</v>
      </c>
      <c r="E33" s="279" t="n">
        <f aca="false">2965D!F41+Formatted[[#This Row],[Date]]</f>
        <v>46067</v>
      </c>
      <c r="F33" s="280" t="n">
        <f aca="false">ROUND((Formatted[[#This Row],[LandingTime]]-Formatted[[#This Row],[TakeOffTime]]) * 1440, 0)</f>
        <v>0</v>
      </c>
      <c r="G33" s="280" t="str">
        <f aca="false">2965D!O41</f>
        <v/>
      </c>
      <c r="H33" s="278" t="n">
        <f aca="false">FALSE()</f>
        <v>0</v>
      </c>
      <c r="I33" s="278" t="str">
        <f aca="false">2965D!$F$2</f>
        <v>ZE633</v>
      </c>
      <c r="J33" s="281" t="n">
        <f aca="false">2965D!$O$2</f>
        <v>46067</v>
      </c>
      <c r="K33" s="287" t="b">
        <f aca="false">FALSE()</f>
        <v>0</v>
      </c>
      <c r="L33" s="287"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8.5390625" defaultRowHeight="15" zeroHeight="false" outlineLevelRow="0" outlineLevelCol="0"/>
  <cols>
    <col collapsed="false" customWidth="true" hidden="false" outlineLevel="0" max="1" min="1" style="0" width="10.71"/>
    <col collapsed="false" customWidth="true" hidden="false" outlineLevel="0" max="2" min="2" style="0" width="9.71"/>
    <col collapsed="false" customWidth="true" hidden="false" outlineLevel="0" max="3" min="3" style="0" width="13.28"/>
    <col collapsed="false" customWidth="true" hidden="false" outlineLevel="0" max="4" min="4" style="0" width="16.28"/>
  </cols>
  <sheetData>
    <row r="1" customFormat="false" ht="15" hidden="false" customHeight="false" outlineLevel="0" collapsed="false">
      <c r="A1" s="277" t="s">
        <v>4</v>
      </c>
      <c r="B1" s="277" t="s">
        <v>237</v>
      </c>
      <c r="C1" s="277" t="s">
        <v>238</v>
      </c>
      <c r="D1" s="277" t="s">
        <v>239</v>
      </c>
    </row>
    <row r="2" customFormat="false" ht="15" hidden="false" customHeight="false" outlineLevel="0" collapsed="false">
      <c r="A2" s="281" t="n">
        <f aca="false">2965D!O2</f>
        <v>46067</v>
      </c>
      <c r="B2" s="0" t="str">
        <f aca="false">2965D!F2</f>
        <v>ZE633</v>
      </c>
      <c r="C2" s="289" t="n">
        <f aca="false">2965D!C4+SUM(2965D!P42:R42)</f>
        <v>119.952777777778</v>
      </c>
      <c r="D2" s="0" t="n">
        <f aca="false">2965D!C5+SUM(2965D!P43:R43)</f>
        <v>22516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 sqmid="a52416ed-54f0-4f02-9c99-9b9f42245566">AAAAABYDAABQSwMEFAACAAgAiEWJWvhSWbCmAAAA9gAAABIAHABDb25maWcvUGFja2FnZS54bWwgohgAKKAUAAAAAAAAAAAAAAAAAAAAAAAAAAAAhY9BDoIwFESvQrqnLYiJIZ+S6MKNJCYmxm1TKjTCx9Ai3M2FR/IKYhR153LevMXM/XqDdKgr76JbaxpMSEA58TSqJjdYJKRzR39BUgFbqU6y0N4oo40HmyekdO4cM9b3Pe1ntGkLFnIesEO22alS15J8ZPNf9g1aJ1FpImD/GiNCGkScRnxOObAJQmbwK4Tj3mf7A2HVVa5rtdDor5fApgjs/UE8AFBLAwQUAAIACACIRYl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iEWJWiiKR7gOAAAAEQAAABMAHABGb3JtdWxhcy9TZWN0aW9uMS5tIKIYACigFAAAAAAAAAAAAAAAAAAAAAAAAAAAACtOTS7JzM9TCIbQhtYAUEsBAi0AFAACAAgAiEWJWvhSWbCmAAAA9gAAABIAAAAAAAAAAAAAAAAAAAAAAENvbmZpZy9QYWNrYWdlLnhtbFBLAQItABQAAgAIAIhFiVoPyumrpAAAAOkAAAATAAAAAAAAAAAAAAAAAPIAAABbQ29udGVudF9UeXBlc10ueG1sUEsBAi0AFAACAAgAiEWJWiiKR7gOAAAAEQAAABMAAAAAAAAAAAAAAAAA4wEAAEZvcm11bGFzL1NlY3Rpb24xLm1QSwUGAAAAAAMAAwDCAAAAPgIAAAAAEA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wEAAAAAAAB1AQAA77u/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L0l0ZW1zPjwvTG9jYWxQYWNrYWdlTWV0YWRhdGFGaWxlPhYAAABQSwUGAAAAAAAAAAAAAAAAAAAAAAAAJgEAAAEAAADQjJ3fARXREYx6AMBPwpfrAQAAAMj5U0senrdEh0VWz8JzubgAAAAAAgAAAAAAEGYAAAABAAAgAAAAmDYP0qxuU1eG5V2enpAer5POLlDgyGKQ7OG+4zmgzcEAAAAADoAAAAACAAAgAAAAR19u0pd+uYhDD8JmkkUfATtE9Vti41cQdEN2PJgK+95QAAAA6j+rV3hzIcBJZHHG9KUN9RMm85TvWKvcwzKJCXs3fsx9slxtmmxoUGCIspQH6YV29FvFUflFyuZF8qvfryM2EhAXghhKSy7INqCCQ5xP6SFAAAAAGQP+kxWg6fC5qFAWzAcQN8GJrU3OxYFAN9qDQ5KUmEZCzyBh3Fq136YN+BlOPlkzBkQG1MRpLD9Ul2+gZC4g3A==</DataMashup>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 xmlns="875ba578-886d-4752-9169-e010f98bcdf2" xsi:nil="true"/>
    <MediaLengthInSeconds xmlns="875ba578-886d-4752-9169-e010f98bcdf2" xsi:nil="true"/>
    <lcf76f155ced4ddcb4097134ff3c332f xmlns="875ba578-886d-4752-9169-e010f98bcdf2">
      <Terms xmlns="http://schemas.microsoft.com/office/infopath/2007/PartnerControls"/>
    </lcf76f155ced4ddcb4097134ff3c332f>
    <TaxCatchAll xmlns="49078254-ee6b-43b6-84cb-00b3a985030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656EC1522A79A4195ACE8B77BDC2D60" ma:contentTypeVersion="23" ma:contentTypeDescription="Create a new document." ma:contentTypeScope="" ma:versionID="1cf1b9529fe070c50670e81239252341">
  <xsd:schema xmlns:xsd="http://www.w3.org/2001/XMLSchema" xmlns:xs="http://www.w3.org/2001/XMLSchema" xmlns:p="http://schemas.microsoft.com/office/2006/metadata/properties" xmlns:ns2="875ba578-886d-4752-9169-e010f98bcdf2" xmlns:ns3="49078254-ee6b-43b6-84cb-00b3a9850307" targetNamespace="http://schemas.microsoft.com/office/2006/metadata/properties" ma:root="true" ma:fieldsID="8a8f62669a76a759dde9651250ec18a0" ns2:_="" ns3:_="">
    <xsd:import namespace="875ba578-886d-4752-9169-e010f98bcdf2"/>
    <xsd:import namespace="49078254-ee6b-43b6-84cb-00b3a9850307"/>
    <xsd:element name="properties">
      <xsd:complexType>
        <xsd:sequence>
          <xsd:element name="documentManagement">
            <xsd:complexType>
              <xsd:all>
                <xsd:element ref="ns2:Section"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5ba578-886d-4752-9169-e010f98bcdf2" elementFormDefault="qualified">
    <xsd:import namespace="http://schemas.microsoft.com/office/2006/documentManagement/types"/>
    <xsd:import namespace="http://schemas.microsoft.com/office/infopath/2007/PartnerControls"/>
    <xsd:element name="Section" ma:index="8" nillable="true" ma:displayName="Section" ma:format="Dropdown" ma:internalName="Section">
      <xsd:complexType>
        <xsd:complexContent>
          <xsd:extension base="dms:MultiChoice">
            <xsd:sequence>
              <xsd:element name="Value" maxOccurs="unbounded" minOccurs="0" nillable="true">
                <xsd:simpleType>
                  <xsd:restriction base="dms:Choice">
                    <xsd:enumeration value="Flying &amp; Groundschool"/>
                    <xsd:enumeration value="Engineering"/>
                    <xsd:enumeration value="Ground Training &amp; Winches"/>
                    <xsd:enumeration value="Flight Safety"/>
                    <xsd:enumeration value="Health &amp; Safety"/>
                    <xsd:enumeration value="Infrastructure"/>
                    <xsd:enumeration value="IT"/>
                    <xsd:enumeration value="MT"/>
                    <xsd:enumeration value="Stats"/>
                    <xsd:enumeration value="OPS"/>
                    <xsd:enumeration value="Supply"/>
                    <xsd:enumeration value="Administration"/>
                    <xsd:enumeration value="GUR"/>
                    <xsd:enumeration value="Security"/>
                  </xsd:restriction>
                </xsd:simple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2487ad-0a7a-43a2-8e48-b58c7744e34f"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078254-ee6b-43b6-84cb-00b3a985030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dbf5ed6-356f-40d1-b09f-a57195c3d47b}" ma:internalName="TaxCatchAll" ma:showField="CatchAllData" ma:web="49078254-ee6b-43b6-84cb-00b3a9850307">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B23DDE-AF73-46CC-BFE4-1A744AA05863}"/>
</file>

<file path=customXml/itemProps2.xml><?xml version="1.0" encoding="utf-8"?>
<ds:datastoreItem xmlns:ds="http://schemas.openxmlformats.org/officeDocument/2006/customXml" ds:itemID="{5AACAC93-C077-4681-847E-4348F1853CEA}"/>
</file>

<file path=customXml/itemProps3.xml><?xml version="1.0" encoding="utf-8"?>
<ds:datastoreItem xmlns:ds="http://schemas.openxmlformats.org/officeDocument/2006/customXml" ds:itemID="{DA0E2FEB-EAB1-4D92-AE14-DEBD2D85739B}"/>
</file>

<file path=customXml/itemProps4.xml><?xml version="1.0" encoding="utf-8"?>
<ds:datastoreItem xmlns:ds="http://schemas.openxmlformats.org/officeDocument/2006/customXml" ds:itemID="{365761E5-7F12-41FA-8792-1234F07A15CF}"/>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2022-06-26T15:01:24Z</dcterms:created>
  <dc:creator>Jennings, MJ Fg Off (RAFAC-2FTS-VGS-661)</dc:creator>
  <dc:description/>
  <dc:language>en-GB</dc:language>
  <cp:lastModifiedBy/>
  <dcterms:modified xsi:type="dcterms:W3CDTF">2026-02-17T13:41:13Z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0x0101005656EC1522A79A4195ACE8B77BDC2D60</vt:lpwstr>
  </property>
  <property fmtid="{D5CDD505-2E9C-101B-9397-08002B2CF9AE}" pid="4" name="MSIP_Label_3397424e-6912-4ba3-ab3b-444dd4ae2f63_ActionId">
    <vt:lpwstr>70d0cb54-2b4f-46c4-943b-5108b11c3785</vt:lpwstr>
  </property>
  <property fmtid="{D5CDD505-2E9C-101B-9397-08002B2CF9AE}" pid="5" name="MSIP_Label_3397424e-6912-4ba3-ab3b-444dd4ae2f63_ContentBits">
    <vt:lpwstr>0</vt:lpwstr>
  </property>
  <property fmtid="{D5CDD505-2E9C-101B-9397-08002B2CF9AE}" pid="6" name="MSIP_Label_3397424e-6912-4ba3-ab3b-444dd4ae2f63_Enabled">
    <vt:lpwstr>true</vt:lpwstr>
  </property>
  <property fmtid="{D5CDD505-2E9C-101B-9397-08002B2CF9AE}" pid="7" name="MSIP_Label_3397424e-6912-4ba3-ab3b-444dd4ae2f63_Method">
    <vt:lpwstr>Privileged</vt:lpwstr>
  </property>
  <property fmtid="{D5CDD505-2E9C-101B-9397-08002B2CF9AE}" pid="8" name="MSIP_Label_3397424e-6912-4ba3-ab3b-444dd4ae2f63_Name">
    <vt:lpwstr>OFFICIAL</vt:lpwstr>
  </property>
  <property fmtid="{D5CDD505-2E9C-101B-9397-08002B2CF9AE}" pid="9" name="MSIP_Label_3397424e-6912-4ba3-ab3b-444dd4ae2f63_SetDate">
    <vt:lpwstr>2026-02-14T09:54:41Z</vt:lpwstr>
  </property>
  <property fmtid="{D5CDD505-2E9C-101B-9397-08002B2CF9AE}" pid="10" name="MSIP_Label_3397424e-6912-4ba3-ab3b-444dd4ae2f63_SiteId">
    <vt:lpwstr>16de72cb-72cb-4c17-add9-90443690ac83</vt:lpwstr>
  </property>
  <property fmtid="{D5CDD505-2E9C-101B-9397-08002B2CF9AE}" pid="11" name="MSIP_Label_3397424e-6912-4ba3-ab3b-444dd4ae2f63_Tag">
    <vt:lpwstr>10, 0, 1, 1</vt:lpwstr>
  </property>
  <property fmtid="{D5CDD505-2E9C-101B-9397-08002B2CF9AE}" pid="12" name="MediaServiceImageTags">
    <vt:lpwstr/>
  </property>
  <property fmtid="{D5CDD505-2E9C-101B-9397-08002B2CF9AE}" pid="13" name="Order">
    <vt:r8>731900</vt:r8>
  </property>
  <property fmtid="{D5CDD505-2E9C-101B-9397-08002B2CF9AE}" pid="14" name="TemplateUrl">
    <vt:lpwstr/>
  </property>
  <property fmtid="{D5CDD505-2E9C-101B-9397-08002B2CF9AE}" pid="15" name="TriggerFlowInfo">
    <vt:lpwstr/>
  </property>
  <property fmtid="{D5CDD505-2E9C-101B-9397-08002B2CF9AE}" pid="16" name="_ExtendedDescription">
    <vt:lpwstr/>
  </property>
  <property fmtid="{D5CDD505-2E9C-101B-9397-08002B2CF9AE}" pid="17" name="xd_ProgID">
    <vt:lpwstr/>
  </property>
  <property fmtid="{D5CDD505-2E9C-101B-9397-08002B2CF9AE}" pid="18" name="xd_Signature">
    <vt:bool>0</vt:bool>
  </property>
</Properties>
</file>