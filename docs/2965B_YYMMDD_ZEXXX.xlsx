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codeName="ThisWorkbook" defaultThemeVersion="166925"/>
  <mc:AlternateContent xmlns:mc="http://schemas.openxmlformats.org/markup-compatibility/2006">
    <mc:Choice Requires="x15">
      <x15ac:absPath xmlns:x15ac="http://schemas.microsoft.com/office/spreadsheetml/2010/11/ac" url="https://rafac.sharepoint.com/sites/661VGSHome/661 Document Library/Log Sheets/Logsheet 2965 (B) Update/"/>
    </mc:Choice>
  </mc:AlternateContent>
  <xr:revisionPtr revIDLastSave="0" documentId="8_{014D391D-59FE-4060-91A8-53C87BB86EFD}" xr6:coauthVersionLast="47" xr6:coauthVersionMax="47" xr10:uidLastSave="{00000000-0000-0000-0000-000000000000}"/>
  <bookViews>
    <workbookView xWindow="-120" yWindow="-120" windowWidth="29040" windowHeight="16440" tabRatio="824" xr2:uid="{00000000-000D-0000-FFFF-FFFF00000000}"/>
  </bookViews>
  <sheets>
    <sheet name="2965B" sheetId="12" r:id="rId1"/>
    <sheet name="Print Copy" sheetId="11" r:id="rId2"/>
    <sheet name="F724 Guide" sheetId="13" r:id="rId3"/>
    <sheet name="Instructions" sheetId="6" r:id="rId4"/>
    <sheet name="Changelog" sheetId="7" r:id="rId5"/>
    <sheet name="INPUT_DATA" sheetId="3" r:id="rId6"/>
    <sheet name="FORMATTED" sheetId="14" r:id="rId7"/>
    <sheet name="_AIRCRAFT" sheetId="10" r:id="rId8"/>
  </sheets>
  <definedNames>
    <definedName name="AircraftList">Aircraft[Number]</definedName>
    <definedName name="DutyList">Duty[Duty]</definedName>
    <definedName name="PilotList">Pilots[Surname]</definedName>
    <definedName name="SPCList">Table4[SPC Codes]</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Michael Jennings</author>
    <author>Chris White</author>
  </authors>
  <commentList>
    <comment ref="D2" authorId="0" shapeId="0" xr:uid="{3E1E4A13-735A-4EF9-8CFD-3204F37B1CC7}">
      <text>
        <r>
          <rPr>
            <b/>
            <sz val="9"/>
            <color indexed="81"/>
            <rFont val="Tahoma"/>
            <family val="2"/>
          </rPr>
          <t xml:space="preserve">Michael Jennings:
</t>
        </r>
        <r>
          <rPr>
            <sz val="9"/>
            <color indexed="81"/>
            <rFont val="Tahoma"/>
            <family val="2"/>
          </rPr>
          <t>Enter your AC number. If its not there, add it to the hidden INPUT_DATA sheet</t>
        </r>
      </text>
    </comment>
    <comment ref="O2" authorId="1" shapeId="0" xr:uid="{CEB17D61-C8F1-4540-A096-F09294CB8D37}">
      <text>
        <r>
          <rPr>
            <b/>
            <sz val="9"/>
            <color indexed="81"/>
            <rFont val="Tahoma"/>
            <family val="2"/>
          </rPr>
          <t>Chris White:</t>
        </r>
        <r>
          <rPr>
            <sz val="9"/>
            <color indexed="81"/>
            <rFont val="Tahoma"/>
            <family val="2"/>
          </rPr>
          <t xml:space="preserve">
Use CTRL+; to enter the date</t>
        </r>
      </text>
    </comment>
    <comment ref="B4" authorId="0" shapeId="0" xr:uid="{8A28B002-B30D-4A87-8194-AFF38B06D250}">
      <text>
        <r>
          <rPr>
            <b/>
            <sz val="9"/>
            <color indexed="81"/>
            <rFont val="Tahoma"/>
            <family val="2"/>
          </rPr>
          <t>Michael Jennings:</t>
        </r>
        <r>
          <rPr>
            <sz val="9"/>
            <color indexed="81"/>
            <rFont val="Tahoma"/>
            <family val="2"/>
          </rPr>
          <t xml:space="preserve">
Take the hours from the F700s "Running Log"</t>
        </r>
      </text>
    </comment>
    <comment ref="B5" authorId="0" shapeId="0" xr:uid="{CDA0C4E2-5E06-4C8D-BDAF-161F81025857}">
      <text>
        <r>
          <rPr>
            <b/>
            <sz val="9"/>
            <color indexed="81"/>
            <rFont val="Tahoma"/>
            <family val="2"/>
          </rPr>
          <t>Michael Jennings:</t>
        </r>
        <r>
          <rPr>
            <sz val="9"/>
            <color indexed="81"/>
            <rFont val="Tahoma"/>
            <family val="2"/>
          </rPr>
          <t xml:space="preserve">
Take the launches from the F700s "Running Log"</t>
        </r>
      </text>
    </comment>
    <comment ref="E5" authorId="0" shapeId="0" xr:uid="{B7573A3F-4A8E-48D2-AC8F-8132D27AFA01}">
      <text>
        <r>
          <rPr>
            <b/>
            <sz val="9"/>
            <color indexed="81"/>
            <rFont val="Tahoma"/>
            <family val="2"/>
          </rPr>
          <t>Michael Jennings:</t>
        </r>
        <r>
          <rPr>
            <sz val="9"/>
            <color indexed="81"/>
            <rFont val="Tahoma"/>
            <family val="2"/>
          </rPr>
          <t xml:space="preserve">
If you have less than 30 launches, you can enter the number here and a red line will appear.</t>
        </r>
      </text>
    </comment>
    <comment ref="B7" authorId="1" shapeId="0" xr:uid="{50A256CA-960B-4479-B1ED-952149F38B44}">
      <text>
        <r>
          <rPr>
            <sz val="11"/>
            <color theme="1"/>
            <rFont val="Calibri"/>
            <family val="2"/>
            <scheme val="minor"/>
          </rPr>
          <t xml:space="preserve">Chris White:
Select pilot from drop down list. Add a pilot in the hidden DATA sheet if required.
</t>
        </r>
      </text>
    </comment>
    <comment ref="C7" authorId="1" shapeId="0" xr:uid="{60C75C9E-F238-40AE-8D79-88006295A99F}">
      <text>
        <r>
          <rPr>
            <b/>
            <sz val="9"/>
            <color indexed="81"/>
            <rFont val="Tahoma"/>
            <family val="2"/>
          </rPr>
          <t>Chris White:</t>
        </r>
        <r>
          <rPr>
            <sz val="9"/>
            <color indexed="81"/>
            <rFont val="Tahoma"/>
            <family val="2"/>
          </rPr>
          <t xml:space="preserve">
Type surname</t>
        </r>
      </text>
    </comment>
    <comment ref="D7" authorId="1" shapeId="0" xr:uid="{870586E8-959E-4938-AFA4-8F62D338372E}">
      <text>
        <r>
          <rPr>
            <b/>
            <sz val="9"/>
            <color indexed="81"/>
            <rFont val="Tahoma"/>
            <family val="2"/>
          </rPr>
          <t>Chris White:</t>
        </r>
        <r>
          <rPr>
            <sz val="9"/>
            <color indexed="81"/>
            <rFont val="Tahoma"/>
            <family val="2"/>
          </rPr>
          <t xml:space="preserve">
Choose duty from the drop down list</t>
        </r>
      </text>
    </comment>
    <comment ref="E7" authorId="1" shapeId="0" xr:uid="{6DC8ABD0-1338-4C86-BCEA-9B69DA72F6D8}">
      <text>
        <r>
          <rPr>
            <b/>
            <sz val="9"/>
            <color indexed="81"/>
            <rFont val="Tahoma"/>
            <family val="2"/>
          </rPr>
          <t>Chris White:</t>
        </r>
        <r>
          <rPr>
            <sz val="9"/>
            <color indexed="81"/>
            <rFont val="Tahoma"/>
            <family val="2"/>
          </rPr>
          <t xml:space="preserve">
Use CTRL+SHIFT+; to enter the time of take-off</t>
        </r>
      </text>
    </comment>
    <comment ref="F7" authorId="1" shapeId="0" xr:uid="{4F854C9E-81A3-468C-B338-29B2B866354F}">
      <text>
        <r>
          <rPr>
            <b/>
            <sz val="9"/>
            <color indexed="81"/>
            <rFont val="Tahoma"/>
            <family val="2"/>
          </rPr>
          <t>Chris White:</t>
        </r>
        <r>
          <rPr>
            <sz val="9"/>
            <color indexed="81"/>
            <rFont val="Tahoma"/>
            <family val="2"/>
          </rPr>
          <t xml:space="preserve">
Use CTRL+SHIFT+; to enter the time of landing</t>
        </r>
      </text>
    </comment>
    <comment ref="Q7" authorId="0" shapeId="0" xr:uid="{7468B446-0C66-4F8D-879D-C4DB59DBEF4D}">
      <text>
        <r>
          <rPr>
            <b/>
            <sz val="9"/>
            <color indexed="81"/>
            <rFont val="Tahoma"/>
            <family val="2"/>
          </rPr>
          <t>Michael Jennings:</t>
        </r>
        <r>
          <rPr>
            <sz val="9"/>
            <color indexed="81"/>
            <rFont val="Tahoma"/>
            <family val="2"/>
          </rPr>
          <t xml:space="preserve">
Enter the last three digits of your service number here.
If the initials do not appear in "Print Copy" sheet, add your SN to "INPUT_DATA"</t>
        </r>
      </text>
    </comment>
    <comment ref="L9" authorId="0" shapeId="0" xr:uid="{71205344-EF10-4B02-B826-F71289909DCD}">
      <text>
        <r>
          <rPr>
            <b/>
            <sz val="9"/>
            <color indexed="81"/>
            <rFont val="Tahoma"/>
            <family val="2"/>
          </rPr>
          <t>Michael Jennings:</t>
        </r>
        <r>
          <rPr>
            <sz val="9"/>
            <color indexed="81"/>
            <rFont val="Tahoma"/>
            <family val="2"/>
          </rPr>
          <t xml:space="preserve">
Tick the pilot claiming the SCT e.g. P2 is 2nd pilot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<sst xmlns="http://schemas.openxmlformats.org/spreadsheetml/2006/main" count="410" uniqueCount="291">
  <si>
    <t>661 VGS</t>
  </si>
  <si>
    <t>A/C Number</t>
  </si>
  <si>
    <t>ZE495</t>
  </si>
  <si>
    <t>A/C Tail Letters</t>
  </si>
  <si>
    <t>Date</t>
  </si>
  <si>
    <t>F724 Hours 
B/F</t>
  </si>
  <si>
    <t>F724 Launches B/F</t>
  </si>
  <si>
    <r>
      <t xml:space="preserve">Launches Left
</t>
    </r>
    <r>
      <rPr>
        <sz val="8"/>
        <rFont val="Arial"/>
        <family val="2"/>
      </rPr>
      <t>(If 30 or less)</t>
    </r>
  </si>
  <si>
    <t>Ser No.</t>
  </si>
  <si>
    <t>Trainee</t>
  </si>
  <si>
    <t>SCT</t>
  </si>
  <si>
    <t>Claimed By</t>
  </si>
  <si>
    <t>Other (G)</t>
  </si>
  <si>
    <t>SPC</t>
  </si>
  <si>
    <t>Aero-tow</t>
  </si>
  <si>
    <t>PLF</t>
  </si>
  <si>
    <t>After Flight Initials</t>
  </si>
  <si>
    <t>GIF</t>
  </si>
  <si>
    <t>G/S</t>
  </si>
  <si>
    <t>AGT</t>
  </si>
  <si>
    <t>QGI</t>
  </si>
  <si>
    <t>U/T</t>
  </si>
  <si>
    <t>1- Winch Launch (Circuit)
2- Aerotow Only
3- Aerotow + Soaring
4- Aerotow + Stalling
5- Aerotow + Aeros
6- Winch Launch + Soaring
7- Winch Launch + Aeros
8- Maintenance Flight Test</t>
  </si>
  <si>
    <t>Aircraft Commander</t>
  </si>
  <si>
    <t>2nd Pilot/Trainee or Passenger</t>
  </si>
  <si>
    <t>Duty</t>
  </si>
  <si>
    <t>Take Off Time</t>
  </si>
  <si>
    <t>Landing Time</t>
  </si>
  <si>
    <t>(B)</t>
  </si>
  <si>
    <t>(C)</t>
  </si>
  <si>
    <t>(D)</t>
  </si>
  <si>
    <t>(E)</t>
  </si>
  <si>
    <t>(F)</t>
  </si>
  <si>
    <t>P1</t>
  </si>
  <si>
    <t>P2</t>
  </si>
  <si>
    <t>Warnings</t>
  </si>
  <si>
    <t>SPC Found</t>
  </si>
  <si>
    <t>Time</t>
  </si>
  <si>
    <t>Jarrold</t>
  </si>
  <si>
    <t>Bloggs</t>
  </si>
  <si>
    <t>1 - Winch Launch (Circuit)</t>
  </si>
  <si>
    <t>842</t>
  </si>
  <si>
    <t>Winslow, C</t>
  </si>
  <si>
    <t>Joe</t>
  </si>
  <si>
    <t>899</t>
  </si>
  <si>
    <t>Bramwell</t>
  </si>
  <si>
    <t>Ansell</t>
  </si>
  <si>
    <t>SCT QGI</t>
  </si>
  <si>
    <t>6 - Winch Launch + Soaring</t>
  </si>
  <si>
    <t>315</t>
  </si>
  <si>
    <t>Ashby</t>
  </si>
  <si>
    <t>PAX</t>
  </si>
  <si>
    <t>Total Hours</t>
  </si>
  <si>
    <t>Total Launches</t>
  </si>
  <si>
    <t>Hours Totals</t>
  </si>
  <si>
    <t>Lchs</t>
  </si>
  <si>
    <t>RAF Glider Flying Times</t>
  </si>
  <si>
    <t>Unit:</t>
  </si>
  <si>
    <t>Date:</t>
  </si>
  <si>
    <t>A/C Number:</t>
  </si>
  <si>
    <t>A/C Tail Letters:</t>
  </si>
  <si>
    <r>
      <rPr>
        <b/>
        <sz val="12"/>
        <color theme="1"/>
        <rFont val="Arial"/>
        <family val="2"/>
      </rPr>
      <t>RAF Form 2965B</t>
    </r>
    <r>
      <rPr>
        <sz val="12"/>
        <color theme="1"/>
        <rFont val="Arial"/>
        <family val="2"/>
      </rPr>
      <t xml:space="preserve">
(Revised 8/26)</t>
    </r>
  </si>
  <si>
    <t>ACTION AFTER FLIGHT HAS COMMENCED - TO BE COMPLETED IAW 2 FTS DUTY HOLDER ORDERS (DHOs) 2401(5)</t>
  </si>
  <si>
    <t>Serial No 
of Flight</t>
  </si>
  <si>
    <t>(Individuals with the same surname should have 
their forename initial added after their surname)</t>
  </si>
  <si>
    <r>
      <rPr>
        <b/>
        <sz val="11"/>
        <color theme="1"/>
        <rFont val="Arial"/>
        <family val="2"/>
      </rPr>
      <t>Duty</t>
    </r>
    <r>
      <rPr>
        <b/>
        <sz val="10"/>
        <color theme="1"/>
        <rFont val="Arial"/>
        <family val="2"/>
      </rPr>
      <t xml:space="preserve">
</t>
    </r>
    <r>
      <rPr>
        <sz val="9"/>
        <color theme="1"/>
        <rFont val="Arial"/>
        <family val="2"/>
      </rPr>
      <t>(GIF, GS, 
AGT, SCT, 
JSAT, PAX 
etc)</t>
    </r>
  </si>
  <si>
    <t>Time of 
Take-Off</t>
  </si>
  <si>
    <t>Time of
 Landing</t>
  </si>
  <si>
    <r>
      <rPr>
        <b/>
        <sz val="11"/>
        <color theme="1"/>
        <rFont val="Arial"/>
        <family val="2"/>
      </rPr>
      <t>Trainee</t>
    </r>
    <r>
      <rPr>
        <sz val="11"/>
        <color theme="1"/>
        <rFont val="Arial"/>
        <family val="2"/>
      </rPr>
      <t xml:space="preserve">
</t>
    </r>
    <r>
      <rPr>
        <sz val="9"/>
        <color theme="1"/>
        <rFont val="Arial"/>
        <family val="2"/>
      </rPr>
      <t>(Hours:Min)</t>
    </r>
  </si>
  <si>
    <r>
      <rPr>
        <b/>
        <sz val="11"/>
        <color theme="1"/>
        <rFont val="Arial"/>
        <family val="2"/>
      </rPr>
      <t>Other Flying</t>
    </r>
    <r>
      <rPr>
        <sz val="11"/>
        <color theme="1"/>
        <rFont val="Arial"/>
        <family val="2"/>
      </rPr>
      <t xml:space="preserve">
</t>
    </r>
    <r>
      <rPr>
        <sz val="9"/>
        <color theme="1"/>
        <rFont val="Arial"/>
        <family val="2"/>
      </rPr>
      <t>(Hours:Min)</t>
    </r>
  </si>
  <si>
    <r>
      <rPr>
        <b/>
        <sz val="11"/>
        <color theme="1"/>
        <rFont val="Arial"/>
        <family val="2"/>
      </rPr>
      <t>Sortie Profile Codes (SPC)</t>
    </r>
    <r>
      <rPr>
        <b/>
        <sz val="10"/>
        <color theme="1"/>
        <rFont val="Arial"/>
        <family val="2"/>
      </rPr>
      <t xml:space="preserve">
</t>
    </r>
    <r>
      <rPr>
        <sz val="9"/>
        <color theme="1"/>
        <rFont val="Arial"/>
        <family val="2"/>
      </rPr>
      <t>(Aircraft Commander to complete) (Hours:Min)</t>
    </r>
  </si>
  <si>
    <r>
      <t>Aerotow (</t>
    </r>
    <r>
      <rPr>
        <b/>
        <sz val="10"/>
        <color theme="1"/>
        <rFont val="Wingdings"/>
        <charset val="2"/>
      </rPr>
      <t>ü</t>
    </r>
    <r>
      <rPr>
        <b/>
        <sz val="10"/>
        <color theme="1"/>
        <rFont val="Arial"/>
        <family val="2"/>
      </rPr>
      <t>)</t>
    </r>
  </si>
  <si>
    <r>
      <t>PLF (</t>
    </r>
    <r>
      <rPr>
        <b/>
        <sz val="10"/>
        <color theme="1"/>
        <rFont val="Wingdings"/>
        <charset val="2"/>
      </rPr>
      <t>ü</t>
    </r>
    <r>
      <rPr>
        <b/>
        <sz val="10"/>
        <color theme="1"/>
        <rFont val="Arial"/>
        <family val="2"/>
      </rPr>
      <t>)</t>
    </r>
  </si>
  <si>
    <t>After Flight
Initials</t>
  </si>
  <si>
    <t>(Hours:Min)</t>
  </si>
  <si>
    <r>
      <t>Claimed
By (</t>
    </r>
    <r>
      <rPr>
        <sz val="9"/>
        <color theme="1"/>
        <rFont val="Wingdings"/>
        <charset val="2"/>
      </rPr>
      <t>ü</t>
    </r>
    <r>
      <rPr>
        <sz val="9"/>
        <color theme="1"/>
        <rFont val="Arial"/>
        <family val="2"/>
      </rPr>
      <t>)</t>
    </r>
  </si>
  <si>
    <t>Surname of 
Aircraft 
Commander</t>
  </si>
  <si>
    <t>Surname of 
Second Pilot, 
Trainee or PAX</t>
  </si>
  <si>
    <t>G/S</t>
  </si>
  <si>
    <t>S
P
C</t>
  </si>
  <si>
    <t>1. Winch Launch (Circuit)
2. Aerotow Only
3. Aerotow + Soaring
4. Aerotow + Stalling</t>
  </si>
  <si>
    <t>5. Aerotow + Aeros
6. Winch Launch + Soaring
7. Winch Launch + Aeros
8. Maintenance Flight Test</t>
  </si>
  <si>
    <t>Carry
Forward</t>
  </si>
  <si>
    <t>Launches:</t>
  </si>
  <si>
    <t>Flying Hours:</t>
  </si>
  <si>
    <r>
      <t xml:space="preserve">Produced by Air Media Centre, HQ Air Command, </t>
    </r>
    <r>
      <rPr>
        <sz val="12"/>
        <color theme="1"/>
        <rFont val="Aptos Narrow"/>
        <family val="2"/>
      </rPr>
      <t>©</t>
    </r>
    <r>
      <rPr>
        <sz val="12"/>
        <color theme="1"/>
        <rFont val="Arial"/>
        <family val="2"/>
      </rPr>
      <t xml:space="preserve"> UK MOD Crown Copyright</t>
    </r>
  </si>
  <si>
    <r>
      <t xml:space="preserve">Page </t>
    </r>
    <r>
      <rPr>
        <b/>
        <sz val="14"/>
        <color theme="1"/>
        <rFont val="Arial"/>
        <family val="2"/>
      </rPr>
      <t xml:space="preserve">1 </t>
    </r>
    <r>
      <rPr>
        <sz val="14"/>
        <color theme="1"/>
        <rFont val="Arial"/>
        <family val="2"/>
      </rPr>
      <t xml:space="preserve">of </t>
    </r>
    <r>
      <rPr>
        <b/>
        <sz val="14"/>
        <color theme="1"/>
        <rFont val="Arial"/>
        <family val="2"/>
      </rPr>
      <t>2</t>
    </r>
  </si>
  <si>
    <t>RAF Glider Flying Times Continuation Sheet</t>
  </si>
  <si>
    <t>Brought
Forward</t>
  </si>
  <si>
    <t>Total Launches:</t>
  </si>
  <si>
    <t>Total Flying Hours:</t>
  </si>
  <si>
    <t>Form Finalisation and Declaration - The final Aircraft Commander is to ensure that the total launches and hours are entered and cross-checked with the Mod F700</t>
  </si>
  <si>
    <t>Total Hours:</t>
  </si>
  <si>
    <t>Duty Supervisor is to Certify that the totals have been checked and are correct</t>
  </si>
  <si>
    <t>Launches B/F from F724:</t>
  </si>
  <si>
    <t>Hours B/F from F724:</t>
  </si>
  <si>
    <t>Rank and Name</t>
  </si>
  <si>
    <t>Signature:</t>
  </si>
  <si>
    <t>Launches C/F to F724:</t>
  </si>
  <si>
    <t>Hours C/F to F724:</t>
  </si>
  <si>
    <r>
      <t xml:space="preserve">Page </t>
    </r>
    <r>
      <rPr>
        <b/>
        <sz val="14"/>
        <color theme="1"/>
        <rFont val="Arial"/>
        <family val="2"/>
      </rPr>
      <t xml:space="preserve">2 </t>
    </r>
    <r>
      <rPr>
        <sz val="14"/>
        <color theme="1"/>
        <rFont val="Arial"/>
        <family val="2"/>
      </rPr>
      <t xml:space="preserve">of </t>
    </r>
    <r>
      <rPr>
        <b/>
        <sz val="14"/>
        <color theme="1"/>
        <rFont val="Arial"/>
        <family val="2"/>
      </rPr>
      <t>2</t>
    </r>
  </si>
  <si>
    <t>Daily Total Hours</t>
  </si>
  <si>
    <t>Daily Total Lchs</t>
  </si>
  <si>
    <t>Captains Name</t>
  </si>
  <si>
    <t>Data Present</t>
  </si>
  <si>
    <t>As Req'd</t>
  </si>
  <si>
    <t>F724 Running Log Guide</t>
  </si>
  <si>
    <t>Hours Flown</t>
  </si>
  <si>
    <t>Launches</t>
  </si>
  <si>
    <t>Spins</t>
  </si>
  <si>
    <t>Sortie Profile Codes</t>
  </si>
  <si>
    <t>Captain's Printed Name</t>
  </si>
  <si>
    <t>Daily Total</t>
  </si>
  <si>
    <t>Total</t>
  </si>
  <si>
    <t>Previous Entry</t>
  </si>
  <si>
    <t>Start from this Line</t>
  </si>
  <si>
    <t>Start of Day</t>
  </si>
  <si>
    <r>
      <t xml:space="preserve">Save the file </t>
    </r>
    <r>
      <rPr>
        <b/>
        <sz val="11"/>
        <color theme="1"/>
        <rFont val="Calibri"/>
        <family val="2"/>
        <scheme val="minor"/>
      </rPr>
      <t>to Sharepoint</t>
    </r>
    <r>
      <rPr>
        <sz val="11"/>
        <color theme="1"/>
        <rFont val="Calibri"/>
        <family val="2"/>
        <scheme val="minor"/>
      </rPr>
      <t xml:space="preserve"> and name it "2965B_DATE_AIRCRAFT.xlsx" e.g. 2965B_250211_ZE625.xlsx</t>
    </r>
  </si>
  <si>
    <t>Enter aircraft number and date along the top</t>
  </si>
  <si>
    <t>Add launches and hours before flight from the F724.</t>
  </si>
  <si>
    <t>Add the last three digits of the AC commander into the AF initials column during the in-brief.</t>
  </si>
  <si>
    <t>End of Day</t>
  </si>
  <si>
    <r>
      <t xml:space="preserve">Ensure the log sheet has </t>
    </r>
    <r>
      <rPr>
        <b/>
        <sz val="11"/>
        <color theme="1"/>
        <rFont val="Calibri"/>
        <family val="2"/>
        <scheme val="minor"/>
      </rPr>
      <t>saved</t>
    </r>
    <r>
      <rPr>
        <sz val="11"/>
        <color theme="1"/>
        <rFont val="Calibri"/>
        <family val="2"/>
        <scheme val="minor"/>
      </rPr>
      <t xml:space="preserve"> to Sharepoint</t>
    </r>
  </si>
  <si>
    <t>Login to the VGS Stats Dashboard</t>
  </si>
  <si>
    <r>
      <rPr>
        <b/>
        <sz val="11"/>
        <color rgb="FF000000"/>
        <rFont val="Calibri"/>
        <family val="2"/>
      </rPr>
      <t>Upload</t>
    </r>
    <r>
      <rPr>
        <sz val="11"/>
        <color rgb="FF000000"/>
        <rFont val="Calibri"/>
        <family val="2"/>
      </rPr>
      <t xml:space="preserve"> log sheets on the "Upload Log Sheets" page</t>
    </r>
  </si>
  <si>
    <r>
      <t xml:space="preserve">Go to "Print Copy" and </t>
    </r>
    <r>
      <rPr>
        <b/>
        <sz val="11"/>
        <color theme="1"/>
        <rFont val="Calibri"/>
        <family val="2"/>
        <scheme val="minor"/>
      </rPr>
      <t>print</t>
    </r>
    <r>
      <rPr>
        <sz val="11"/>
        <color theme="1"/>
        <rFont val="Calibri"/>
        <family val="2"/>
        <scheme val="minor"/>
      </rPr>
      <t xml:space="preserve"> the log sheet. </t>
    </r>
  </si>
  <si>
    <t>If you really need to, the editing password for this document is "Viking"</t>
  </si>
  <si>
    <t>Version</t>
  </si>
  <si>
    <t>Name</t>
  </si>
  <si>
    <t>Changes</t>
  </si>
  <si>
    <t>1.1.0</t>
  </si>
  <si>
    <t>MJ</t>
  </si>
  <si>
    <t>Updated SPC column to be 6 if time flown is &gt; 9 min 30 seconds.
Added CGS names into aircraft commander columns
Added changelog
Updated instructions with hyperlinks and next steps</t>
  </si>
  <si>
    <t>1.2.0</t>
  </si>
  <si>
    <t>Added checkboxes to PLF columns. FORMATTED now returns TRUE or FALSE.</t>
  </si>
  <si>
    <t>1.3.1</t>
  </si>
  <si>
    <t>Added pilots</t>
  </si>
  <si>
    <t>1.4.0</t>
  </si>
  <si>
    <t>CW</t>
  </si>
  <si>
    <t>Instruction (7) updated
Extra instructions added
Tickboxes added to P1 and P2 columns
Duty drop down list updated
Duty column headers updated on the 2965D
FORMATTED table P1 and P2 columns added</t>
  </si>
  <si>
    <t>1.4.1</t>
  </si>
  <si>
    <t>Added pilot and aircraft.  Various formula's updated to reflect weaknesses in new duty names and full sheets</t>
  </si>
  <si>
    <t>1.4.2</t>
  </si>
  <si>
    <t>Fixed formula in total launches boxes using COUNTA instead of 23-COUNTBLANK. 
Changed duty back to G/S, AGT.
Simpified instructions.
Added locked cells and password-protected sheet.</t>
  </si>
  <si>
    <t>2.0.0</t>
  </si>
  <si>
    <t>DA</t>
  </si>
  <si>
    <t>Major changes to template:
Added F724 entry guide
Added Print Copy for if required to print log sheet</t>
  </si>
  <si>
    <t>2.1.0</t>
  </si>
  <si>
    <t>Added formatting to display max launches left</t>
  </si>
  <si>
    <t>2.2.0</t>
  </si>
  <si>
    <t>Fixed print area on Print Copy
Print copy cells no longer show 0 when the sheet is blank
Fixed typo in 724 B/F cell</t>
  </si>
  <si>
    <t>2.3.0</t>
  </si>
  <si>
    <t>Added _AIRCRAFT to capture hours and launches after flight
Updated instructions with hyperlinks</t>
  </si>
  <si>
    <t>2.3.1</t>
  </si>
  <si>
    <t>Fixed _AIRCRAFT hours and launches pulling from the wrong fields</t>
  </si>
  <si>
    <t>2.3.2</t>
  </si>
  <si>
    <t>Fixed launches column in _AIRCRAFT pulling from the hours row</t>
  </si>
  <si>
    <t>2.4.0</t>
  </si>
  <si>
    <t>GM</t>
  </si>
  <si>
    <t>Sortie Profile Codes now assigned using checkboxes</t>
  </si>
  <si>
    <t>3.0.0</t>
  </si>
  <si>
    <t>Last 4 of SN now entered into A/F column will add initials to Print Copy</t>
  </si>
  <si>
    <t>3.1.0</t>
  </si>
  <si>
    <t>Checkboxes for soaring and aeros now compatible with older office versions</t>
  </si>
  <si>
    <t>3.2.0</t>
  </si>
  <si>
    <t>Formatted notes to ensure all text is visible
Added data type to launches left, hours before, launches before, and second pilot column
Reformatted instructions with start of day and end of day</t>
  </si>
  <si>
    <t>3.3.0</t>
  </si>
  <si>
    <t>Added drop-down for 2nd pilot column
Changed INPUT_DATA to have Duty as a table
Changed INPUT_DATA to create Pilots table</t>
  </si>
  <si>
    <t>3.3.1</t>
  </si>
  <si>
    <t>Fixed issue where AF signatures did not pull through to page two of the print copy</t>
  </si>
  <si>
    <t>3.3.2</t>
  </si>
  <si>
    <t>Added ZE626</t>
  </si>
  <si>
    <t>3.3.3</t>
  </si>
  <si>
    <t>Added ZE557</t>
  </si>
  <si>
    <t>3.3.4</t>
  </si>
  <si>
    <t>Added ZE683</t>
  </si>
  <si>
    <t>3.3.5</t>
  </si>
  <si>
    <t>Added ZE551</t>
  </si>
  <si>
    <r>
      <t>Full overhaul to new 2965</t>
    </r>
    <r>
      <rPr>
        <b/>
        <sz val="11"/>
        <color theme="1"/>
        <rFont val="Calibri"/>
        <family val="2"/>
        <scheme val="minor"/>
      </rPr>
      <t xml:space="preserve">B </t>
    </r>
    <r>
      <rPr>
        <sz val="11"/>
        <color theme="1"/>
        <rFont val="Calibri"/>
        <family val="2"/>
        <scheme val="minor"/>
      </rPr>
      <t>Template - 2965B sheet updated, Print Copy Updated, F724 Guide added, Formatted sheet updated</t>
    </r>
  </si>
  <si>
    <t>Number</t>
  </si>
  <si>
    <t>Tail Letter</t>
  </si>
  <si>
    <t>SPC Codes</t>
  </si>
  <si>
    <t>ZE528</t>
  </si>
  <si>
    <t>VQ</t>
  </si>
  <si>
    <r>
      <t>1 -</t>
    </r>
    <r>
      <rPr>
        <sz val="9"/>
        <color theme="1"/>
        <rFont val="Calibri"/>
        <family val="2"/>
        <scheme val="minor"/>
      </rPr>
      <t xml:space="preserve"> </t>
    </r>
    <r>
      <rPr>
        <sz val="8"/>
        <color theme="1"/>
        <rFont val="Calibri"/>
        <family val="2"/>
        <scheme val="minor"/>
      </rPr>
      <t>Winch Launch (Circuit)</t>
    </r>
  </si>
  <si>
    <t>VA</t>
  </si>
  <si>
    <r>
      <t xml:space="preserve">2 - </t>
    </r>
    <r>
      <rPr>
        <sz val="8"/>
        <color theme="1"/>
        <rFont val="Calibri"/>
        <family val="2"/>
        <scheme val="minor"/>
      </rPr>
      <t>Aerotow Only</t>
    </r>
  </si>
  <si>
    <t>ZE602</t>
  </si>
  <si>
    <t>XB</t>
  </si>
  <si>
    <r>
      <t xml:space="preserve">3 - </t>
    </r>
    <r>
      <rPr>
        <sz val="8"/>
        <color theme="1"/>
        <rFont val="Calibri"/>
        <family val="2"/>
        <scheme val="minor"/>
      </rPr>
      <t>Aerotow + Soaring</t>
    </r>
  </si>
  <si>
    <t>ZE625</t>
  </si>
  <si>
    <t>XP</t>
  </si>
  <si>
    <r>
      <t xml:space="preserve">4 - </t>
    </r>
    <r>
      <rPr>
        <sz val="8"/>
        <color theme="1"/>
        <rFont val="Calibri"/>
        <family val="2"/>
        <scheme val="minor"/>
      </rPr>
      <t>Aerotow + Stalling</t>
    </r>
  </si>
  <si>
    <t>ZE527</t>
  </si>
  <si>
    <t>VP</t>
  </si>
  <si>
    <t>SCT U/T</t>
  </si>
  <si>
    <r>
      <t>5 -</t>
    </r>
    <r>
      <rPr>
        <sz val="8"/>
        <color theme="1"/>
        <rFont val="Calibri"/>
        <family val="2"/>
        <scheme val="minor"/>
      </rPr>
      <t xml:space="preserve"> Aerotow + Aeros</t>
    </r>
  </si>
  <si>
    <t>ZE633</t>
  </si>
  <si>
    <t>XX</t>
  </si>
  <si>
    <r>
      <t xml:space="preserve">6 - </t>
    </r>
    <r>
      <rPr>
        <sz val="8"/>
        <color theme="1"/>
        <rFont val="Calibri"/>
        <family val="2"/>
        <scheme val="minor"/>
      </rPr>
      <t>Winch Launch + Soaring</t>
    </r>
  </si>
  <si>
    <t>ZE529</t>
  </si>
  <si>
    <t>VR</t>
  </si>
  <si>
    <r>
      <t xml:space="preserve">7 - </t>
    </r>
    <r>
      <rPr>
        <sz val="8"/>
        <color theme="1"/>
        <rFont val="Calibri"/>
        <family val="2"/>
        <scheme val="minor"/>
      </rPr>
      <t>Winch Launch + Aeros</t>
    </r>
  </si>
  <si>
    <t>ZE683</t>
  </si>
  <si>
    <t>YT</t>
  </si>
  <si>
    <r>
      <t xml:space="preserve">8 - </t>
    </r>
    <r>
      <rPr>
        <sz val="8"/>
        <color theme="1"/>
        <rFont val="Calibri"/>
        <family val="2"/>
        <scheme val="minor"/>
      </rPr>
      <t>Maintenance Flight Test</t>
    </r>
  </si>
  <si>
    <t>ZE626</t>
  </si>
  <si>
    <t>XQ</t>
  </si>
  <si>
    <t>ZE557</t>
  </si>
  <si>
    <t>WE</t>
  </si>
  <si>
    <t>ZE551</t>
  </si>
  <si>
    <t>VY</t>
  </si>
  <si>
    <t>SN Last 3</t>
  </si>
  <si>
    <t>Pilot</t>
  </si>
  <si>
    <t>Surname</t>
  </si>
  <si>
    <t>481</t>
  </si>
  <si>
    <t>250</t>
  </si>
  <si>
    <t>IA</t>
  </si>
  <si>
    <t>097</t>
  </si>
  <si>
    <t>SA</t>
  </si>
  <si>
    <t>Attwood</t>
  </si>
  <si>
    <t>068</t>
  </si>
  <si>
    <t>AB</t>
  </si>
  <si>
    <t>Bagley</t>
  </si>
  <si>
    <t>JB</t>
  </si>
  <si>
    <t>SB</t>
  </si>
  <si>
    <t>Broadhurst</t>
  </si>
  <si>
    <t>736</t>
  </si>
  <si>
    <t>KC</t>
  </si>
  <si>
    <t>Corfield, K</t>
  </si>
  <si>
    <t>CD</t>
  </si>
  <si>
    <t>Dunmore</t>
  </si>
  <si>
    <t>HE</t>
  </si>
  <si>
    <t>Ellwood</t>
  </si>
  <si>
    <t>129</t>
  </si>
  <si>
    <t>KG</t>
  </si>
  <si>
    <t>Garnett</t>
  </si>
  <si>
    <t>SG</t>
  </si>
  <si>
    <t>Grantley</t>
  </si>
  <si>
    <t>054</t>
  </si>
  <si>
    <t>GJ</t>
  </si>
  <si>
    <t>Jessop</t>
  </si>
  <si>
    <t>71C</t>
  </si>
  <si>
    <t>CL</t>
  </si>
  <si>
    <t>Ledbury</t>
  </si>
  <si>
    <t>SL</t>
  </si>
  <si>
    <t>Lomax</t>
  </si>
  <si>
    <t>AM</t>
  </si>
  <si>
    <t>Marchant</t>
  </si>
  <si>
    <t>368</t>
  </si>
  <si>
    <t>Merrifield</t>
  </si>
  <si>
    <t>025</t>
  </si>
  <si>
    <t>LM</t>
  </si>
  <si>
    <t>Millward</t>
  </si>
  <si>
    <t>490</t>
  </si>
  <si>
    <t>JP</t>
  </si>
  <si>
    <t>Pentland</t>
  </si>
  <si>
    <t>NP</t>
  </si>
  <si>
    <t>Pickford</t>
  </si>
  <si>
    <t>617</t>
  </si>
  <si>
    <t>LP</t>
  </si>
  <si>
    <t>Pollard</t>
  </si>
  <si>
    <t>183</t>
  </si>
  <si>
    <t>AR</t>
  </si>
  <si>
    <t>Rossiter</t>
  </si>
  <si>
    <t>902</t>
  </si>
  <si>
    <t>PS</t>
  </si>
  <si>
    <t>Stannard</t>
  </si>
  <si>
    <t>534</t>
  </si>
  <si>
    <t>KT</t>
  </si>
  <si>
    <t>Thorne</t>
  </si>
  <si>
    <t>726</t>
  </si>
  <si>
    <t>RW</t>
  </si>
  <si>
    <t>Winslow, R</t>
  </si>
  <si>
    <t>TW</t>
  </si>
  <si>
    <t>Woolley</t>
  </si>
  <si>
    <t>GW</t>
  </si>
  <si>
    <t>Woolston</t>
  </si>
  <si>
    <t>AircraftCommander</t>
  </si>
  <si>
    <t>2ndPilot</t>
  </si>
  <si>
    <t>TakeOffTime</t>
  </si>
  <si>
    <t>LandingTime</t>
  </si>
  <si>
    <t>FlightTime</t>
  </si>
  <si>
    <t>Aerotow</t>
  </si>
  <si>
    <t>Aircraft</t>
  </si>
  <si>
    <t>Hours After</t>
  </si>
  <si>
    <t>Launches After</t>
  </si>
  <si>
    <t xml:space="preserve">4.0.0</t>
  </si>
  <si>
    <t xml:space="preserve">4.1.0</t>
  </si>
  <si>
    <t xml:space="preserve">MJ</t>
  </si>
  <si>
    <t xml:space="preserve">Take-off and landing times now plain times; the dashboard adds the date.
Fixed the broken _AIRCRAFT hours and launches formulas.
Aerotow tick box removed; it is now worked out from the sortie profile code.
Drop-downs now read the INPUT_DATA tables, so adding a row is enough.
Landing time must now be after take-off, and take-off after the previous landing.
Removed the sample data, the stray drop-down on F3 and the stray rule on G10.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</si>
</sst>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hh]:mm"/>
    <numFmt numFmtId="165" formatCode="[h]:mm"/>
    <numFmt numFmtId="166" formatCode="[$-F400]h:mm:ss\ AM/PM"/>
    <numFmt numFmtId="167" formatCode="h:mm"/>
  </numFmts>
  <fonts count="44">
    <font>
      <sz val="11"/>
      <color theme="1"/>
      <name val="Calibri"/>
      <family val="2"/>
      <scheme val="minor"/>
    </font>
    <font>
      <sz val="11"/>
      <color theme="1"/>
      <name val="Arial"/>
      <family val="2"/>
    </font>
    <font>
      <b/>
      <sz val="11"/>
      <color theme="1"/>
      <name val="Arial"/>
      <family val="2"/>
    </font>
    <font>
      <b/>
      <sz val="9"/>
      <color theme="1"/>
      <name val="Arial"/>
      <family val="2"/>
    </font>
    <font>
      <sz val="9"/>
      <color theme="1"/>
      <name val="Arial"/>
      <family val="2"/>
    </font>
    <font>
      <sz val="9"/>
      <color indexed="81"/>
      <name val="Tahoma"/>
      <family val="2"/>
    </font>
    <font>
      <b/>
      <sz val="9"/>
      <color indexed="81"/>
      <name val="Tahoma"/>
      <family val="2"/>
    </font>
    <font>
      <b/>
      <sz val="11"/>
      <color theme="1"/>
      <name val="Calibri"/>
      <family val="2"/>
      <scheme val="minor"/>
    </font>
    <font>
      <sz val="10"/>
      <color theme="1"/>
      <name val="Arial"/>
      <family val="2"/>
    </font>
    <font>
      <u/>
      <sz val="11"/>
      <color theme="10"/>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
      <sz val="11"/>
      <color rgb="FF000000"/>
      <name val="Calibri"/>
      <family val="2"/>
    </font>
    <font>
      <sz val="11"/>
      <color rgb="FFFF0000"/>
      <name val="Calibri"/>
      <family val="2"/>
      <scheme val="minor"/>
    </font>
    <font>
      <b/>
      <sz val="10"/>
      <color theme="1"/>
      <name val="Arial"/>
      <family val="2"/>
    </font>
    <font>
      <b/>
      <sz val="12"/>
      <color theme="1"/>
      <name val="Arial"/>
      <family val="2"/>
    </font>
    <font>
      <b/>
      <sz val="14"/>
      <color theme="1"/>
      <name val="Arial"/>
      <family val="2"/>
    </font>
    <font>
      <u/>
      <sz val="14"/>
      <color theme="1"/>
      <name val="Arial"/>
      <family val="2"/>
    </font>
    <font>
      <sz val="18"/>
      <color theme="1"/>
      <name val="Wingdings"/>
      <charset val="2"/>
    </font>
    <font>
      <b/>
      <sz val="11"/>
      <color rgb="FFFF0000"/>
      <name val="Arial"/>
      <family val="2"/>
    </font>
    <font>
      <sz val="10"/>
      <color theme="1"/>
      <name val="Calibri"/>
      <family val="2"/>
      <scheme val="minor"/>
    </font>
    <font>
      <b/>
      <sz val="11"/>
      <name val="Arial"/>
      <family val="2"/>
    </font>
    <font>
      <sz val="8"/>
      <name val="Arial"/>
      <family val="2"/>
    </font>
    <font>
      <sz val="11"/>
      <color rgb="FFFF0000"/>
      <name val="Arial"/>
      <family val="2"/>
    </font>
    <font>
      <sz val="9"/>
      <color rgb="FFFF0000"/>
      <name val="Arial"/>
      <family val="2"/>
    </font>
    <font>
      <sz val="11"/>
      <color theme="1"/>
      <name val="Lucida Handwriting"/>
      <family val="4"/>
    </font>
    <font>
      <b/>
      <sz val="11"/>
      <color rgb="FF000000"/>
      <name val="Calibri"/>
      <family val="2"/>
    </font>
    <font>
      <sz val="14"/>
      <color theme="1"/>
      <name val="Arial"/>
      <family val="2"/>
    </font>
    <font>
      <sz val="12"/>
      <color theme="1"/>
      <name val="Arial"/>
      <family val="2"/>
    </font>
    <font>
      <sz val="8"/>
      <color theme="1"/>
      <name val="Arial"/>
      <family val="2"/>
    </font>
    <font>
      <sz val="9"/>
      <color theme="1"/>
      <name val="Wingdings"/>
      <charset val="2"/>
    </font>
    <font>
      <b/>
      <sz val="10"/>
      <color theme="1"/>
      <name val="Wingdings"/>
      <charset val="2"/>
    </font>
    <font>
      <sz val="12"/>
      <color theme="1"/>
      <name val="Aptos Narrow"/>
      <family val="2"/>
    </font>
    <font>
      <b/>
      <sz val="18"/>
      <color theme="1"/>
      <name val="Arial"/>
      <family val="2"/>
    </font>
    <font>
      <b/>
      <sz val="16"/>
      <color theme="1"/>
      <name val="Arial"/>
      <family val="2"/>
    </font>
    <font>
      <sz val="14"/>
      <color theme="1"/>
      <name val="Wingdings"/>
      <charset val="2"/>
    </font>
    <font>
      <sz val="9"/>
      <color theme="1"/>
      <name val="Calibri"/>
      <family val="2"/>
      <scheme val="minor"/>
    </font>
    <font>
      <sz val="8"/>
      <color theme="1"/>
      <name val="Calibri"/>
      <family val="2"/>
      <scheme val="minor"/>
    </font>
    <font>
      <b/>
      <sz val="20"/>
      <color theme="1"/>
      <name val="Calibri"/>
      <family val="2"/>
      <scheme val="minor"/>
    </font>
    <font>
      <sz val="11"/>
      <color rgb="FF00B0F0"/>
      <name val="Calibri"/>
      <family val="2"/>
      <scheme val="minor"/>
    </font>
    <font>
      <sz val="11"/>
      <color theme="1"/>
      <name val="Wingdings"/>
      <charset val="2"/>
    </font>
    <font>
      <sz val="12"/>
      <color theme="1"/>
      <name val="Lucida Handwriting"/>
      <family val="4"/>
    </font>
    <font>
      <sz val="10"/>
      <color rgb="FFFF0000"/>
      <name val="Calibri"/>
      <family val="2"/>
      <scheme val="minor"/>
    </font>
  </fonts>
  <fills count="6">
    <fill>
      <patternFill patternType="none"/>
    </fill>
    <fill>
      <patternFill patternType="gray125"/>
    </fill>
    <fill>
      <patternFill patternType="solid">
        <fgColor rgb="FFD9D9D9"/>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0"/>
        <bgColor indexed="64"/>
      </patternFill>
    </fill>
  </fills>
  <borders count="77">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medium">
        <color indexed="64"/>
      </left>
      <right/>
      <top style="medium">
        <color indexed="64"/>
      </top>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right style="thin">
        <color indexed="64"/>
      </right>
      <top/>
      <bottom style="medium">
        <color indexed="64"/>
      </bottom>
      <diagonal/>
    </border>
    <border>
      <left style="medium">
        <color indexed="64"/>
      </left>
      <right style="medium">
        <color indexed="64"/>
      </right>
      <top style="medium">
        <color indexed="64"/>
      </top>
      <bottom style="thick">
        <color rgb="FFFF0000"/>
      </bottom>
      <diagonal/>
    </border>
    <border>
      <left style="medium">
        <color indexed="64"/>
      </left>
      <right style="thin">
        <color indexed="64"/>
      </right>
      <top style="medium">
        <color indexed="64"/>
      </top>
      <bottom style="thick">
        <color rgb="FFFF0000"/>
      </bottom>
      <diagonal/>
    </border>
    <border>
      <left style="thin">
        <color indexed="64"/>
      </left>
      <right style="thin">
        <color indexed="64"/>
      </right>
      <top style="medium">
        <color indexed="64"/>
      </top>
      <bottom style="thick">
        <color rgb="FFFF0000"/>
      </bottom>
      <diagonal/>
    </border>
    <border>
      <left style="thin">
        <color indexed="64"/>
      </left>
      <right/>
      <top style="medium">
        <color indexed="64"/>
      </top>
      <bottom style="thick">
        <color rgb="FFFF0000"/>
      </bottom>
      <diagonal/>
    </border>
    <border>
      <left style="thin">
        <color indexed="64"/>
      </left>
      <right style="medium">
        <color indexed="64"/>
      </right>
      <top style="medium">
        <color indexed="64"/>
      </top>
      <bottom style="thick">
        <color rgb="FFFF0000"/>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thin">
        <color indexed="64"/>
      </top>
      <bottom/>
      <diagonal/>
    </border>
    <border>
      <left/>
      <right style="thin">
        <color indexed="64"/>
      </right>
      <top style="medium">
        <color indexed="64"/>
      </top>
      <bottom style="thick">
        <color rgb="FFFF0000"/>
      </bottom>
      <diagonal/>
    </border>
    <border>
      <left/>
      <right style="medium">
        <color indexed="64"/>
      </right>
      <top style="medium">
        <color indexed="64"/>
      </top>
      <bottom/>
      <diagonal/>
    </border>
    <border>
      <left/>
      <right/>
      <top/>
      <bottom style="medium">
        <color indexed="64"/>
      </bottom>
      <diagonal/>
    </border>
    <border>
      <left/>
      <right style="medium">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bottom style="thin">
        <color auto="1"/>
      </bottom>
      <diagonal/>
    </border>
    <border>
      <left style="medium">
        <color indexed="64"/>
      </left>
      <right style="thin">
        <color indexed="64"/>
      </right>
      <top style="medium">
        <color indexed="64"/>
      </top>
      <bottom/>
      <diagonal/>
    </border>
    <border>
      <left/>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ck">
        <color rgb="FFFF0000"/>
      </top>
      <bottom style="thick">
        <color rgb="FFFF0000"/>
      </bottom>
      <diagonal/>
    </border>
    <border>
      <left style="medium">
        <color indexed="64"/>
      </left>
      <right style="thin">
        <color indexed="64"/>
      </right>
      <top style="thick">
        <color rgb="FFFF0000"/>
      </top>
      <bottom style="thick">
        <color rgb="FFFF0000"/>
      </bottom>
      <diagonal/>
    </border>
    <border>
      <left style="thin">
        <color indexed="64"/>
      </left>
      <right style="thin">
        <color indexed="64"/>
      </right>
      <top style="thick">
        <color rgb="FFFF0000"/>
      </top>
      <bottom style="thick">
        <color rgb="FFFF0000"/>
      </bottom>
      <diagonal/>
    </border>
    <border>
      <left style="thin">
        <color indexed="64"/>
      </left>
      <right/>
      <top style="thick">
        <color rgb="FFFF0000"/>
      </top>
      <bottom style="thick">
        <color rgb="FFFF0000"/>
      </bottom>
      <diagonal/>
    </border>
    <border>
      <left/>
      <right style="thin">
        <color indexed="64"/>
      </right>
      <top style="thick">
        <color rgb="FFFF0000"/>
      </top>
      <bottom style="thick">
        <color rgb="FFFF0000"/>
      </bottom>
      <diagonal/>
    </border>
    <border>
      <left style="thin">
        <color indexed="64"/>
      </left>
      <right style="medium">
        <color indexed="64"/>
      </right>
      <top style="thick">
        <color rgb="FFFF0000"/>
      </top>
      <bottom style="thick">
        <color rgb="FFFF0000"/>
      </bottom>
      <diagonal/>
    </border>
  </borders>
  <cellStyleXfs count="2">
    <xf numFmtId="0" fontId="0" fillId="0" borderId="0"/>
    <xf numFmtId="0" fontId="9" fillId="0" borderId="0" applyNumberFormat="0" applyFill="0" applyBorder="0" applyAlignment="0" applyProtection="0"/>
  </cellStyleXfs>
  <cellXfs count="445">
    <xf numFmtId="0" fontId="0" fillId="0" borderId="0" xfId="0"/>
    <xf numFmtId="166" fontId="0" fillId="0" borderId="0" xfId="0" applyNumberFormat="1"/>
    <xf numFmtId="1" fontId="0" fillId="0" borderId="0" xfId="0" applyNumberFormat="1"/>
    <xf numFmtId="49" fontId="0" fillId="0" borderId="0" xfId="0" applyNumberFormat="1"/>
    <xf numFmtId="0" fontId="0" fillId="0" borderId="0" xfId="0" applyAlignment="1">
      <alignment wrapText="1"/>
    </xf>
    <xf numFmtId="14" fontId="0" fillId="0" borderId="0" xfId="0" applyNumberFormat="1"/>
    <xf numFmtId="0" fontId="7" fillId="0" borderId="0" xfId="0" applyFont="1"/>
    <xf numFmtId="0" fontId="7" fillId="0" borderId="0" xfId="0" applyFont="1" applyAlignment="1">
      <alignment horizontal="center"/>
    </xf>
    <xf numFmtId="0" fontId="1" fillId="0" borderId="0" xfId="0" applyFont="1"/>
    <xf numFmtId="0" fontId="0" fillId="0" borderId="0" xfId="0" applyAlignment="1">
      <alignment vertical="top"/>
    </xf>
    <xf numFmtId="14" fontId="0" fillId="0" borderId="0" xfId="0" applyNumberFormat="1" applyAlignment="1">
      <alignment vertical="top"/>
    </xf>
    <xf numFmtId="0" fontId="0" fillId="0" borderId="0" xfId="0" applyAlignment="1">
      <alignment vertical="top" wrapText="1"/>
    </xf>
    <xf numFmtId="0" fontId="10" fillId="0" borderId="0" xfId="0" applyFont="1" applyAlignment="1">
      <alignment vertical="top"/>
    </xf>
    <xf numFmtId="0" fontId="12" fillId="0" borderId="0" xfId="0" applyFont="1" applyAlignment="1">
      <alignment vertical="top"/>
    </xf>
    <xf numFmtId="0" fontId="10" fillId="0" borderId="0" xfId="0" applyFont="1" applyAlignment="1">
      <alignment horizontal="center" vertical="top"/>
    </xf>
    <xf numFmtId="0" fontId="0" fillId="0" borderId="0" xfId="0" applyAlignment="1">
      <alignment horizontal="center" vertical="top"/>
    </xf>
    <xf numFmtId="0" fontId="9" fillId="0" borderId="0" xfId="1" applyAlignment="1">
      <alignment wrapText="1"/>
    </xf>
    <xf numFmtId="0" fontId="13" fillId="0" borderId="0" xfId="0" applyFont="1" applyAlignment="1">
      <alignment wrapText="1"/>
    </xf>
    <xf numFmtId="0" fontId="14" fillId="0" borderId="0" xfId="0" applyFont="1" applyAlignment="1">
      <alignment wrapText="1"/>
    </xf>
    <xf numFmtId="0" fontId="15" fillId="0" borderId="0" xfId="0" applyFont="1" applyAlignment="1">
      <alignment horizontal="center" vertical="center"/>
    </xf>
    <xf numFmtId="0" fontId="1" fillId="0" borderId="0" xfId="0" applyFont="1" applyAlignment="1">
      <alignment vertical="top" wrapText="1"/>
    </xf>
    <xf numFmtId="0" fontId="2" fillId="0" borderId="0" xfId="0" applyFont="1" applyAlignment="1">
      <alignment horizontal="right" vertical="center"/>
    </xf>
    <xf numFmtId="0" fontId="1" fillId="0" borderId="0" xfId="0" applyFont="1" applyAlignment="1">
      <alignment horizontal="center"/>
    </xf>
    <xf numFmtId="0" fontId="1" fillId="0" borderId="0" xfId="0" applyFont="1" applyAlignment="1">
      <alignment horizontal="center" vertical="center"/>
    </xf>
    <xf numFmtId="0" fontId="2" fillId="0" borderId="0" xfId="0" applyFont="1"/>
    <xf numFmtId="0" fontId="18" fillId="0" borderId="0" xfId="0" applyFont="1" applyAlignment="1">
      <alignment horizontal="center"/>
    </xf>
    <xf numFmtId="0" fontId="1" fillId="4" borderId="15" xfId="0" applyFont="1" applyFill="1" applyBorder="1" applyProtection="1">
      <protection locked="0"/>
    </xf>
    <xf numFmtId="0" fontId="1" fillId="4" borderId="6" xfId="0" applyFont="1" applyFill="1" applyBorder="1" applyAlignment="1" applyProtection="1">
      <alignment horizontal="center"/>
      <protection locked="0"/>
    </xf>
    <xf numFmtId="0" fontId="1" fillId="4" borderId="8" xfId="0" applyFont="1" applyFill="1" applyBorder="1" applyAlignment="1" applyProtection="1">
      <alignment horizontal="center"/>
      <protection locked="0"/>
    </xf>
    <xf numFmtId="0" fontId="1" fillId="4" borderId="11" xfId="0" applyFont="1" applyFill="1" applyBorder="1" applyAlignment="1" applyProtection="1">
      <alignment horizontal="center"/>
      <protection locked="0"/>
    </xf>
    <xf numFmtId="0" fontId="1" fillId="4" borderId="16" xfId="0" applyFont="1" applyFill="1" applyBorder="1" applyProtection="1">
      <protection locked="0"/>
    </xf>
    <xf numFmtId="0" fontId="1" fillId="4" borderId="17" xfId="0" applyFont="1" applyFill="1" applyBorder="1" applyProtection="1">
      <protection locked="0"/>
    </xf>
    <xf numFmtId="0" fontId="2" fillId="0" borderId="0" xfId="0" applyFont="1" applyAlignment="1">
      <alignment horizontal="center"/>
    </xf>
    <xf numFmtId="0" fontId="2" fillId="0" borderId="0" xfId="0" applyFont="1" applyAlignment="1">
      <alignment horizontal="right"/>
    </xf>
    <xf numFmtId="0" fontId="2" fillId="0" borderId="21" xfId="0" applyFont="1" applyBorder="1" applyAlignment="1">
      <alignment horizontal="center" vertical="center" wrapText="1"/>
    </xf>
    <xf numFmtId="0" fontId="2" fillId="0" borderId="0" xfId="0" applyFont="1" applyAlignment="1">
      <alignment vertical="center" wrapText="1"/>
    </xf>
    <xf numFmtId="0" fontId="2" fillId="0" borderId="0" xfId="0" applyFont="1" applyAlignment="1">
      <alignment horizontal="center" vertical="center" wrapText="1"/>
    </xf>
    <xf numFmtId="14" fontId="2" fillId="0" borderId="0" xfId="0" applyNumberFormat="1" applyFont="1" applyAlignment="1">
      <alignment vertical="center"/>
    </xf>
    <xf numFmtId="0" fontId="2" fillId="0" borderId="0" xfId="0" applyFont="1" applyAlignment="1">
      <alignment vertical="center"/>
    </xf>
    <xf numFmtId="165" fontId="20" fillId="0" borderId="0" xfId="0" applyNumberFormat="1" applyFont="1" applyAlignment="1">
      <alignment horizontal="center" vertical="center" wrapText="1"/>
    </xf>
    <xf numFmtId="0" fontId="20" fillId="0" borderId="0" xfId="0" applyFont="1" applyAlignment="1">
      <alignment vertical="center" wrapText="1"/>
    </xf>
    <xf numFmtId="0" fontId="1" fillId="0" borderId="0" xfId="0" applyFont="1" applyAlignment="1">
      <alignment vertical="center"/>
    </xf>
    <xf numFmtId="0" fontId="1" fillId="0" borderId="39" xfId="0" applyFont="1" applyBorder="1" applyAlignment="1">
      <alignment horizontal="center" vertical="center" wrapText="1"/>
    </xf>
    <xf numFmtId="0" fontId="1" fillId="0" borderId="39" xfId="0" applyFont="1" applyBorder="1" applyAlignment="1">
      <alignment vertical="center" wrapText="1"/>
    </xf>
    <xf numFmtId="0" fontId="1" fillId="0" borderId="46" xfId="0" applyFont="1" applyBorder="1" applyAlignment="1">
      <alignment vertical="center"/>
    </xf>
    <xf numFmtId="0" fontId="1" fillId="0" borderId="27" xfId="0" applyFont="1" applyBorder="1" applyAlignment="1">
      <alignment vertical="center" wrapText="1"/>
    </xf>
    <xf numFmtId="0" fontId="1" fillId="0" borderId="38" xfId="0" applyFont="1" applyBorder="1" applyAlignment="1">
      <alignment horizontal="center" vertical="center" wrapText="1"/>
    </xf>
    <xf numFmtId="0" fontId="1" fillId="0" borderId="38" xfId="0" applyFont="1" applyBorder="1" applyAlignment="1">
      <alignment vertical="center" wrapText="1"/>
    </xf>
    <xf numFmtId="0" fontId="1" fillId="0" borderId="40" xfId="0" applyFont="1" applyBorder="1" applyAlignment="1">
      <alignment vertical="center"/>
    </xf>
    <xf numFmtId="0" fontId="1" fillId="0" borderId="28" xfId="0" applyFont="1" applyBorder="1" applyAlignment="1">
      <alignment vertical="center" wrapText="1"/>
    </xf>
    <xf numFmtId="0" fontId="1" fillId="0" borderId="7" xfId="0" applyFont="1" applyBorder="1" applyAlignment="1">
      <alignment horizontal="center"/>
    </xf>
    <xf numFmtId="0" fontId="1" fillId="0" borderId="1" xfId="0" applyFont="1" applyBorder="1" applyAlignment="1">
      <alignment horizontal="center"/>
    </xf>
    <xf numFmtId="0" fontId="1" fillId="0" borderId="8" xfId="0" applyFont="1" applyBorder="1" applyAlignment="1">
      <alignment horizontal="center"/>
    </xf>
    <xf numFmtId="0" fontId="1" fillId="0" borderId="13" xfId="0" applyFont="1" applyBorder="1" applyAlignment="1">
      <alignment horizontal="center"/>
    </xf>
    <xf numFmtId="0" fontId="1" fillId="0" borderId="36" xfId="0" applyFont="1" applyBorder="1" applyAlignment="1">
      <alignment horizontal="center" vertical="center"/>
    </xf>
    <xf numFmtId="0" fontId="1" fillId="0" borderId="22" xfId="0" applyFont="1" applyBorder="1" applyAlignment="1">
      <alignment horizontal="center"/>
    </xf>
    <xf numFmtId="0" fontId="1" fillId="0" borderId="3" xfId="0" applyFont="1" applyBorder="1" applyAlignment="1">
      <alignment horizontal="center"/>
    </xf>
    <xf numFmtId="0" fontId="1" fillId="0" borderId="24" xfId="0" applyFont="1" applyBorder="1" applyAlignment="1">
      <alignment horizontal="center"/>
    </xf>
    <xf numFmtId="0" fontId="1" fillId="0" borderId="23" xfId="0" applyFont="1" applyBorder="1" applyAlignment="1">
      <alignment horizontal="center"/>
    </xf>
    <xf numFmtId="0" fontId="1" fillId="0" borderId="4" xfId="0" applyFont="1" applyBorder="1" applyAlignment="1">
      <alignment horizontal="center"/>
    </xf>
    <xf numFmtId="165" fontId="1" fillId="0" borderId="4" xfId="0" applyNumberFormat="1" applyFont="1" applyBorder="1" applyAlignment="1">
      <alignment horizontal="center"/>
    </xf>
    <xf numFmtId="165" fontId="1" fillId="0" borderId="5" xfId="0" applyNumberFormat="1" applyFont="1" applyBorder="1" applyAlignment="1">
      <alignment horizontal="center"/>
    </xf>
    <xf numFmtId="165" fontId="1" fillId="0" borderId="6" xfId="0" applyNumberFormat="1" applyFont="1" applyBorder="1" applyAlignment="1">
      <alignment horizontal="center"/>
    </xf>
    <xf numFmtId="165" fontId="1" fillId="0" borderId="12" xfId="0" applyNumberFormat="1" applyFont="1" applyBorder="1" applyAlignment="1">
      <alignment horizontal="center"/>
    </xf>
    <xf numFmtId="165" fontId="1" fillId="0" borderId="7" xfId="0" applyNumberFormat="1" applyFont="1" applyBorder="1" applyAlignment="1">
      <alignment horizontal="center"/>
    </xf>
    <xf numFmtId="165" fontId="1" fillId="0" borderId="1" xfId="0" applyNumberFormat="1" applyFont="1" applyBorder="1" applyAlignment="1">
      <alignment horizontal="center"/>
    </xf>
    <xf numFmtId="165" fontId="1" fillId="0" borderId="8" xfId="0" applyNumberFormat="1" applyFont="1" applyBorder="1" applyAlignment="1">
      <alignment horizontal="center"/>
    </xf>
    <xf numFmtId="165" fontId="1" fillId="0" borderId="13" xfId="0" applyNumberFormat="1" applyFont="1" applyBorder="1" applyAlignment="1">
      <alignment horizontal="center"/>
    </xf>
    <xf numFmtId="0" fontId="1" fillId="0" borderId="9" xfId="0" applyFont="1" applyBorder="1" applyAlignment="1">
      <alignment horizontal="center"/>
    </xf>
    <xf numFmtId="165" fontId="1" fillId="0" borderId="9" xfId="0" applyNumberFormat="1" applyFont="1" applyBorder="1" applyAlignment="1">
      <alignment horizontal="center"/>
    </xf>
    <xf numFmtId="165" fontId="1" fillId="0" borderId="10" xfId="0" applyNumberFormat="1" applyFont="1" applyBorder="1" applyAlignment="1">
      <alignment horizontal="center"/>
    </xf>
    <xf numFmtId="165" fontId="1" fillId="0" borderId="11" xfId="0" applyNumberFormat="1" applyFont="1" applyBorder="1" applyAlignment="1">
      <alignment horizontal="center"/>
    </xf>
    <xf numFmtId="165" fontId="1" fillId="0" borderId="14" xfId="0" applyNumberFormat="1" applyFont="1" applyBorder="1" applyAlignment="1">
      <alignment horizontal="center"/>
    </xf>
    <xf numFmtId="164" fontId="4" fillId="0" borderId="0" xfId="0" applyNumberFormat="1" applyFont="1" applyAlignment="1">
      <alignment horizontal="center" vertical="center"/>
    </xf>
    <xf numFmtId="0" fontId="3" fillId="0" borderId="0" xfId="0" applyFont="1" applyAlignment="1">
      <alignment horizontal="right" vertical="center"/>
    </xf>
    <xf numFmtId="0" fontId="1" fillId="0" borderId="0" xfId="0" applyFont="1" applyAlignment="1">
      <alignment horizontal="center" vertical="center" wrapText="1"/>
    </xf>
    <xf numFmtId="0" fontId="2" fillId="2" borderId="0" xfId="0" applyFont="1" applyFill="1" applyAlignment="1" applyProtection="1">
      <alignment vertical="center"/>
      <protection locked="0"/>
    </xf>
    <xf numFmtId="165" fontId="1" fillId="0" borderId="0" xfId="0" applyNumberFormat="1" applyFont="1" applyAlignment="1">
      <alignment horizontal="center" vertical="center"/>
    </xf>
    <xf numFmtId="0" fontId="1" fillId="0" borderId="34" xfId="0" applyFont="1" applyBorder="1" applyAlignment="1">
      <alignment horizontal="center" vertical="center"/>
    </xf>
    <xf numFmtId="0" fontId="1" fillId="0" borderId="35" xfId="0" applyFont="1" applyBorder="1" applyAlignment="1">
      <alignment horizontal="center" vertical="center"/>
    </xf>
    <xf numFmtId="0" fontId="1" fillId="0" borderId="29" xfId="0" applyFont="1" applyBorder="1" applyAlignment="1">
      <alignment horizontal="center" vertical="center"/>
    </xf>
    <xf numFmtId="0" fontId="1" fillId="0" borderId="40" xfId="0" applyFont="1" applyBorder="1" applyAlignment="1">
      <alignment horizontal="center" vertical="center"/>
    </xf>
    <xf numFmtId="20" fontId="1" fillId="4" borderId="18" xfId="0" applyNumberFormat="1" applyFont="1" applyFill="1" applyBorder="1" applyAlignment="1" applyProtection="1">
      <alignment horizontal="center"/>
      <protection locked="0"/>
    </xf>
    <xf numFmtId="20" fontId="1" fillId="4" borderId="19" xfId="0" applyNumberFormat="1" applyFont="1" applyFill="1" applyBorder="1" applyAlignment="1" applyProtection="1">
      <alignment horizontal="center"/>
      <protection locked="0"/>
    </xf>
    <xf numFmtId="20" fontId="1" fillId="4" borderId="20" xfId="0" applyNumberFormat="1" applyFont="1" applyFill="1" applyBorder="1" applyAlignment="1" applyProtection="1">
      <alignment horizontal="center"/>
      <protection locked="0"/>
    </xf>
    <xf numFmtId="165" fontId="1" fillId="0" borderId="15" xfId="0" applyNumberFormat="1" applyFont="1" applyBorder="1" applyAlignment="1">
      <alignment horizontal="center"/>
    </xf>
    <xf numFmtId="165" fontId="1" fillId="0" borderId="16" xfId="0" applyNumberFormat="1" applyFont="1" applyBorder="1" applyAlignment="1">
      <alignment horizontal="center"/>
    </xf>
    <xf numFmtId="165" fontId="1" fillId="0" borderId="17" xfId="0" applyNumberFormat="1" applyFont="1" applyBorder="1" applyAlignment="1">
      <alignment horizontal="center"/>
    </xf>
    <xf numFmtId="165" fontId="1" fillId="0" borderId="18" xfId="0" applyNumberFormat="1" applyFont="1" applyBorder="1" applyAlignment="1">
      <alignment horizontal="center"/>
    </xf>
    <xf numFmtId="165" fontId="1" fillId="0" borderId="19" xfId="0" applyNumberFormat="1" applyFont="1" applyBorder="1" applyAlignment="1">
      <alignment horizontal="center"/>
    </xf>
    <xf numFmtId="165" fontId="1" fillId="0" borderId="20" xfId="0" applyNumberFormat="1" applyFont="1" applyBorder="1" applyAlignment="1">
      <alignment horizontal="center"/>
    </xf>
    <xf numFmtId="165" fontId="1" fillId="0" borderId="50" xfId="0" applyNumberFormat="1" applyFont="1" applyBorder="1" applyAlignment="1">
      <alignment horizontal="center" vertical="center"/>
    </xf>
    <xf numFmtId="165" fontId="1" fillId="0" borderId="51" xfId="0" applyNumberFormat="1" applyFont="1" applyBorder="1" applyAlignment="1">
      <alignment horizontal="center" vertical="center"/>
    </xf>
    <xf numFmtId="0" fontId="19" fillId="0" borderId="53" xfId="0" applyFont="1" applyBorder="1" applyAlignment="1">
      <alignment horizontal="center" vertical="center"/>
    </xf>
    <xf numFmtId="165" fontId="1" fillId="0" borderId="53" xfId="0" applyNumberFormat="1" applyFont="1" applyBorder="1" applyAlignment="1">
      <alignment horizontal="center" vertical="center"/>
    </xf>
    <xf numFmtId="0" fontId="14" fillId="0" borderId="0" xfId="0" applyFont="1" applyAlignment="1">
      <alignment vertical="center"/>
    </xf>
    <xf numFmtId="0" fontId="24" fillId="0" borderId="0" xfId="0" applyFont="1" applyAlignment="1">
      <alignment vertical="top"/>
    </xf>
    <xf numFmtId="164" fontId="4" fillId="0" borderId="2" xfId="0" applyNumberFormat="1" applyFont="1" applyBorder="1" applyAlignment="1">
      <alignment horizontal="center" vertical="center"/>
    </xf>
    <xf numFmtId="0" fontId="1" fillId="0" borderId="54" xfId="0" applyFont="1" applyBorder="1" applyAlignment="1">
      <alignment horizontal="center" vertical="center"/>
    </xf>
    <xf numFmtId="164" fontId="4" fillId="0" borderId="21" xfId="0" applyNumberFormat="1" applyFont="1" applyBorder="1" applyAlignment="1">
      <alignment horizontal="center" vertical="center"/>
    </xf>
    <xf numFmtId="164" fontId="4" fillId="0" borderId="26" xfId="0" applyNumberFormat="1" applyFont="1" applyBorder="1" applyAlignment="1">
      <alignment horizontal="center" vertical="center"/>
    </xf>
    <xf numFmtId="164" fontId="4" fillId="0" borderId="55" xfId="0" applyNumberFormat="1" applyFont="1" applyBorder="1" applyAlignment="1">
      <alignment horizontal="center" vertical="center"/>
    </xf>
    <xf numFmtId="164" fontId="4" fillId="0" borderId="37" xfId="0" applyNumberFormat="1" applyFont="1" applyBorder="1" applyAlignment="1">
      <alignment horizontal="center" vertical="center"/>
    </xf>
    <xf numFmtId="46" fontId="0" fillId="0" borderId="0" xfId="0" applyNumberFormat="1"/>
    <xf numFmtId="2" fontId="1" fillId="0" borderId="0" xfId="0" applyNumberFormat="1" applyFont="1"/>
    <xf numFmtId="0" fontId="25" fillId="4" borderId="0" xfId="0" applyFont="1" applyFill="1">
      <extLst>
        <ext xmlns:xfpb="http://schemas.microsoft.com/office/spreadsheetml/2022/featurepropertybag" uri="{C7286773-470A-42A8-94C5-96B5CB345126}">
          <xfpb:xfComplement i="0"/>
        </ext>
      </extLst>
    </xf>
    <xf numFmtId="0" fontId="25" fillId="4" borderId="0" xfId="0" applyFont="1" applyFill="1"/>
    <xf numFmtId="49" fontId="4" fillId="4" borderId="18" xfId="0" applyNumberFormat="1" applyFont="1" applyFill="1" applyBorder="1" applyAlignment="1" applyProtection="1">
      <alignment horizontal="center"/>
      <protection locked="0"/>
    </xf>
    <xf numFmtId="49" fontId="4" fillId="4" borderId="19" xfId="0" applyNumberFormat="1" applyFont="1" applyFill="1" applyBorder="1" applyAlignment="1" applyProtection="1">
      <alignment horizontal="center"/>
      <protection locked="0"/>
    </xf>
    <xf numFmtId="20" fontId="1" fillId="0" borderId="0" xfId="0" applyNumberFormat="1" applyFont="1"/>
    <xf numFmtId="1" fontId="20" fillId="4" borderId="33" xfId="0" applyNumberFormat="1" applyFont="1" applyFill="1" applyBorder="1" applyAlignment="1" applyProtection="1">
      <alignment horizontal="center" vertical="center"/>
      <protection locked="0"/>
    </xf>
    <xf numFmtId="165" fontId="20" fillId="4" borderId="33" xfId="0" applyNumberFormat="1" applyFont="1" applyFill="1" applyBorder="1" applyAlignment="1" applyProtection="1">
      <alignment horizontal="center" vertical="center" wrapText="1"/>
      <protection locked="0"/>
    </xf>
    <xf numFmtId="49" fontId="1" fillId="4" borderId="5" xfId="0" applyNumberFormat="1" applyFont="1" applyFill="1" applyBorder="1" applyProtection="1">
      <protection locked="0"/>
    </xf>
    <xf numFmtId="49" fontId="1" fillId="4" borderId="1" xfId="0" applyNumberFormat="1" applyFont="1" applyFill="1" applyBorder="1" applyProtection="1">
      <protection locked="0"/>
    </xf>
    <xf numFmtId="49" fontId="1" fillId="4" borderId="10" xfId="0" applyNumberFormat="1" applyFont="1" applyFill="1" applyBorder="1" applyProtection="1">
      <protection locked="0"/>
    </xf>
    <xf numFmtId="14" fontId="2" fillId="2" borderId="0" xfId="0" applyNumberFormat="1" applyFont="1" applyFill="1" applyAlignment="1" applyProtection="1">
      <alignment horizontal="center" vertical="center"/>
      <protection locked="0"/>
    </xf>
    <xf numFmtId="14" fontId="2" fillId="0" borderId="0" xfId="0" applyNumberFormat="1" applyFont="1" applyAlignment="1">
      <alignment horizontal="center"/>
    </xf>
    <xf numFmtId="0" fontId="1" fillId="0" borderId="0" xfId="0" applyFont="1" applyAlignment="1">
      <alignment horizontal="left" vertical="center"/>
    </xf>
    <xf numFmtId="164" fontId="1" fillId="0" borderId="0" xfId="0" applyNumberFormat="1" applyFont="1" applyAlignment="1">
      <alignment horizontal="center" vertical="center"/>
    </xf>
    <xf numFmtId="0" fontId="19" fillId="0" borderId="0" xfId="0" applyFont="1" applyAlignment="1">
      <alignment horizontal="center" vertical="center"/>
    </xf>
    <xf numFmtId="0" fontId="26" fillId="0" borderId="0" xfId="0" applyFont="1" applyAlignment="1">
      <alignment horizontal="center" vertical="center"/>
    </xf>
    <xf numFmtId="0" fontId="15" fillId="0" borderId="0" xfId="0" applyFont="1" applyAlignment="1">
      <alignment vertical="center"/>
    </xf>
    <xf numFmtId="0" fontId="16" fillId="0" borderId="0" xfId="0" applyFont="1"/>
    <xf numFmtId="0" fontId="15" fillId="0" borderId="0" xfId="0" applyFont="1" applyAlignment="1">
      <alignment vertical="center" wrapText="1"/>
    </xf>
    <xf numFmtId="165" fontId="1" fillId="0" borderId="0" xfId="0" applyNumberFormat="1" applyFont="1" applyAlignment="1">
      <alignment vertical="center"/>
    </xf>
    <xf numFmtId="165" fontId="1" fillId="0" borderId="5" xfId="0" applyNumberFormat="1" applyFont="1" applyBorder="1" applyAlignment="1">
      <alignment horizontal="center" vertical="center"/>
    </xf>
    <xf numFmtId="0" fontId="2" fillId="3" borderId="9" xfId="0" applyFont="1" applyFill="1" applyBorder="1" applyAlignment="1">
      <alignment horizontal="center" vertical="center"/>
    </xf>
    <xf numFmtId="0" fontId="15" fillId="3" borderId="10" xfId="0" applyFont="1" applyFill="1" applyBorder="1" applyAlignment="1">
      <alignment horizontal="center" vertical="center" wrapText="1"/>
    </xf>
    <xf numFmtId="0" fontId="2" fillId="3" borderId="10" xfId="0" applyFont="1" applyFill="1" applyBorder="1" applyAlignment="1">
      <alignment horizontal="center" vertical="center" textRotation="90"/>
    </xf>
    <xf numFmtId="0" fontId="2" fillId="3" borderId="10" xfId="0" applyFont="1" applyFill="1" applyBorder="1" applyAlignment="1">
      <alignment horizontal="center" vertical="center"/>
    </xf>
    <xf numFmtId="0" fontId="2" fillId="3" borderId="9" xfId="0" applyFont="1" applyFill="1" applyBorder="1" applyAlignment="1">
      <alignment horizontal="center" vertical="center" textRotation="90"/>
    </xf>
    <xf numFmtId="0" fontId="2" fillId="3" borderId="11" xfId="0" applyFont="1" applyFill="1" applyBorder="1" applyAlignment="1">
      <alignment horizontal="center" vertical="center" textRotation="90"/>
    </xf>
    <xf numFmtId="165" fontId="1" fillId="0" borderId="4" xfId="0" applyNumberFormat="1" applyFont="1" applyBorder="1" applyAlignment="1">
      <alignment horizontal="center" vertical="center"/>
    </xf>
    <xf numFmtId="165" fontId="1" fillId="0" borderId="6" xfId="0" applyNumberFormat="1" applyFont="1" applyBorder="1" applyAlignment="1">
      <alignment horizontal="center" vertical="center"/>
    </xf>
    <xf numFmtId="0" fontId="2" fillId="3" borderId="17" xfId="0" applyFont="1" applyFill="1" applyBorder="1" applyAlignment="1">
      <alignment horizontal="center" vertical="center" textRotation="90"/>
    </xf>
    <xf numFmtId="0" fontId="2" fillId="3" borderId="11" xfId="0" applyFont="1" applyFill="1" applyBorder="1" applyAlignment="1">
      <alignment horizontal="center" vertical="center"/>
    </xf>
    <xf numFmtId="0" fontId="35" fillId="0" borderId="0" xfId="0" applyFont="1" applyAlignment="1">
      <alignment horizontal="left" vertical="top"/>
    </xf>
    <xf numFmtId="0" fontId="16" fillId="0" borderId="0" xfId="0" applyFont="1" applyAlignment="1">
      <alignment horizontal="center"/>
    </xf>
    <xf numFmtId="14" fontId="16" fillId="0" borderId="0" xfId="0" applyNumberFormat="1" applyFont="1" applyAlignment="1">
      <alignment horizontal="right"/>
    </xf>
    <xf numFmtId="0" fontId="16" fillId="0" borderId="0" xfId="0" applyFont="1" applyAlignment="1">
      <alignment horizontal="right"/>
    </xf>
    <xf numFmtId="167" fontId="1" fillId="0" borderId="0" xfId="0" applyNumberFormat="1" applyFont="1"/>
    <xf numFmtId="167" fontId="1" fillId="0" borderId="0" xfId="0" applyNumberFormat="1" applyFont="1" applyAlignment="1">
      <alignment horizontal="center" vertical="center"/>
    </xf>
    <xf numFmtId="15" fontId="8" fillId="0" borderId="0" xfId="0" applyNumberFormat="1" applyFont="1" applyAlignment="1">
      <alignment horizontal="center" vertical="center"/>
    </xf>
    <xf numFmtId="0" fontId="8" fillId="0" borderId="0" xfId="0" applyFont="1" applyAlignment="1">
      <alignment horizontal="center" vertical="center"/>
    </xf>
    <xf numFmtId="0" fontId="8" fillId="0" borderId="0" xfId="0" applyFont="1" applyAlignment="1">
      <alignment vertical="center"/>
    </xf>
    <xf numFmtId="1" fontId="8" fillId="0" borderId="0" xfId="0" applyNumberFormat="1" applyFont="1" applyAlignment="1">
      <alignment vertical="center"/>
    </xf>
    <xf numFmtId="165" fontId="8" fillId="0" borderId="0" xfId="0" applyNumberFormat="1" applyFont="1" applyAlignment="1">
      <alignment vertical="center" wrapText="1"/>
    </xf>
    <xf numFmtId="164" fontId="8" fillId="0" borderId="0" xfId="0" applyNumberFormat="1" applyFont="1" applyAlignment="1">
      <alignment vertical="center"/>
    </xf>
    <xf numFmtId="165" fontId="0" fillId="0" borderId="0" xfId="0" applyNumberFormat="1"/>
    <xf numFmtId="15" fontId="0" fillId="0" borderId="0" xfId="0" applyNumberFormat="1"/>
    <xf numFmtId="0" fontId="0" fillId="5" borderId="0" xfId="0" applyFill="1"/>
    <xf numFmtId="0" fontId="0" fillId="5" borderId="0" xfId="0" applyFill="1" applyAlignment="1">
      <alignment horizontal="center" vertical="center"/>
    </xf>
    <xf numFmtId="165" fontId="0" fillId="5" borderId="0" xfId="0" applyNumberFormat="1" applyFill="1" applyAlignment="1">
      <alignment horizontal="center" vertical="center"/>
    </xf>
    <xf numFmtId="0" fontId="14" fillId="5" borderId="0" xfId="0" applyFont="1" applyFill="1" applyAlignment="1">
      <alignment horizontal="right" vertical="center" wrapText="1"/>
    </xf>
    <xf numFmtId="0" fontId="7" fillId="5" borderId="1" xfId="0" applyFont="1" applyFill="1" applyBorder="1" applyAlignment="1">
      <alignment horizontal="center" vertical="center"/>
    </xf>
    <xf numFmtId="0" fontId="40" fillId="5" borderId="0" xfId="0" applyFont="1" applyFill="1" applyAlignment="1">
      <alignment horizontal="right" vertical="center"/>
    </xf>
    <xf numFmtId="49" fontId="1" fillId="4" borderId="15" xfId="0" applyNumberFormat="1" applyFont="1" applyFill="1" applyBorder="1" applyProtection="1">
      <protection locked="0"/>
    </xf>
    <xf numFmtId="165" fontId="1" fillId="0" borderId="47" xfId="0" applyNumberFormat="1" applyFont="1" applyBorder="1" applyAlignment="1">
      <alignment horizontal="center"/>
    </xf>
    <xf numFmtId="165" fontId="1" fillId="0" borderId="3" xfId="0" applyNumberFormat="1" applyFont="1" applyBorder="1" applyAlignment="1">
      <alignment horizontal="center"/>
    </xf>
    <xf numFmtId="165" fontId="1" fillId="0" borderId="23" xfId="0" applyNumberFormat="1" applyFont="1" applyBorder="1" applyAlignment="1">
      <alignment horizontal="center"/>
    </xf>
    <xf numFmtId="165" fontId="1" fillId="0" borderId="22" xfId="0" applyNumberFormat="1" applyFont="1" applyBorder="1" applyAlignment="1">
      <alignment horizontal="center"/>
    </xf>
    <xf numFmtId="165" fontId="1" fillId="0" borderId="24" xfId="0" applyNumberFormat="1" applyFont="1" applyBorder="1" applyAlignment="1">
      <alignment horizontal="center"/>
    </xf>
    <xf numFmtId="165" fontId="1" fillId="0" borderId="25" xfId="0" applyNumberFormat="1" applyFont="1" applyBorder="1" applyAlignment="1">
      <alignment horizontal="center"/>
    </xf>
    <xf numFmtId="0" fontId="1" fillId="4" borderId="4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 fillId="4" borderId="4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 fillId="4" borderId="58"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 fillId="4" borderId="44"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 fillId="4" borderId="18"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 fillId="4" borderId="19"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 fillId="4" borderId="25"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 fillId="4" borderId="20"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 fillId="4" borderId="4" xfId="0"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1" fillId="4" borderId="7" xfId="0"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1" fillId="4" borderId="22" xfId="0"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1" fillId="4" borderId="9" xfId="0"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1" fillId="4" borderId="11" xfId="0"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1" fillId="4" borderId="6" xfId="0"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1" fillId="4" borderId="8" xfId="0"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1" fillId="4" borderId="24" xfId="0"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41" fillId="0" borderId="0" xfId="0" applyFont="1"/>
    <xf numFmtId="0" fontId="2" fillId="3" borderId="50" xfId="0" applyFont="1" applyFill="1" applyBorder="1" applyAlignment="1">
      <alignment horizontal="center" vertical="center"/>
    </xf>
    <xf numFmtId="49" fontId="29" fillId="0" borderId="51" xfId="0" applyNumberFormat="1" applyFont="1" applyBorder="1" applyAlignment="1">
      <alignment horizontal="center" vertical="center"/>
    </xf>
    <xf numFmtId="0" fontId="29" fillId="0" borderId="51" xfId="0" applyFont="1" applyBorder="1" applyAlignment="1">
      <alignment horizontal="center" vertical="center"/>
    </xf>
    <xf numFmtId="20" fontId="1" fillId="0" borderId="51" xfId="0" applyNumberFormat="1" applyFont="1" applyBorder="1" applyAlignment="1">
      <alignment horizontal="center" vertical="center"/>
    </xf>
    <xf numFmtId="20" fontId="1" fillId="0" borderId="52" xfId="0" applyNumberFormat="1" applyFont="1" applyBorder="1" applyAlignment="1">
      <alignment horizontal="center" vertical="center"/>
    </xf>
    <xf numFmtId="165" fontId="1" fillId="0" borderId="49" xfId="0" applyNumberFormat="1" applyFont="1" applyBorder="1" applyAlignment="1">
      <alignment horizontal="center" vertical="center"/>
    </xf>
    <xf numFmtId="0" fontId="19" fillId="0" borderId="59" xfId="0" applyFont="1" applyBorder="1" applyAlignment="1">
      <alignment horizontal="center" vertical="center"/>
    </xf>
    <xf numFmtId="0" fontId="19" fillId="0" borderId="51" xfId="0" applyFont="1" applyBorder="1" applyAlignment="1">
      <alignment horizontal="center" vertical="center"/>
    </xf>
    <xf numFmtId="0" fontId="42" fillId="0" borderId="53" xfId="0" applyFont="1" applyBorder="1" applyAlignment="1">
      <alignment horizontal="center" vertical="center"/>
    </xf>
    <xf numFmtId="0" fontId="43" fillId="0" borderId="0" xfId="0" applyFont="1"/>
    <xf numFmtId="14" fontId="2" fillId="0" borderId="0" xfId="0" applyNumberFormat="1" applyFont="1" applyAlignment="1" applyProtection="1">
      <alignment horizontal="center" vertical="center"/>
      <protection locked="0"/>
    </xf>
    <xf numFmtId="0" fontId="2" fillId="3" borderId="2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22" xfId="0" applyFont="1" applyFill="1" applyBorder="1" applyAlignment="1">
      <alignment horizontal="center" vertical="center" textRotation="90"/>
    </xf>
    <xf numFmtId="0" fontId="2" fillId="3" borderId="3" xfId="0" applyFont="1" applyFill="1" applyBorder="1" applyAlignment="1">
      <alignment horizontal="center" vertical="center" textRotation="90"/>
    </xf>
    <xf numFmtId="0" fontId="2" fillId="3" borderId="24" xfId="0" applyFont="1" applyFill="1" applyBorder="1" applyAlignment="1">
      <alignment horizontal="center" vertical="center" textRotation="90"/>
    </xf>
    <xf numFmtId="0" fontId="2" fillId="3" borderId="47" xfId="0" applyFont="1" applyFill="1" applyBorder="1" applyAlignment="1">
      <alignment horizontal="center" vertical="center" textRotation="90"/>
    </xf>
    <xf numFmtId="0" fontId="2" fillId="3" borderId="24" xfId="0" applyFont="1" applyFill="1" applyBorder="1" applyAlignment="1">
      <alignment horizontal="center" vertical="center"/>
    </xf>
    <xf numFmtId="0" fontId="15" fillId="3" borderId="3" xfId="0" applyFont="1" applyFill="1" applyBorder="1" applyAlignment="1">
      <alignment horizontal="center" vertical="center" wrapText="1"/>
    </xf>
    <xf numFmtId="0" fontId="2" fillId="3" borderId="66" xfId="0" applyFont="1" applyFill="1" applyBorder="1" applyAlignment="1">
      <alignment horizontal="center" vertical="center"/>
    </xf>
    <xf numFmtId="165" fontId="1" fillId="0" borderId="10" xfId="0" applyNumberFormat="1" applyFont="1" applyBorder="1" applyAlignment="1">
      <alignment horizontal="center" vertical="center"/>
    </xf>
    <xf numFmtId="165" fontId="1" fillId="0" borderId="9" xfId="0" applyNumberFormat="1" applyFont="1" applyBorder="1" applyAlignment="1">
      <alignment horizontal="center" vertical="center"/>
    </xf>
    <xf numFmtId="165" fontId="1" fillId="0" borderId="11" xfId="0" applyNumberFormat="1" applyFont="1" applyBorder="1" applyAlignment="1">
      <alignment horizontal="center" vertical="center"/>
    </xf>
    <xf numFmtId="0" fontId="28" fillId="0" borderId="5" xfId="0" applyFont="1" applyBorder="1" applyAlignment="1">
      <alignment horizontal="center" vertical="center"/>
    </xf>
    <xf numFmtId="49" fontId="29" fillId="0" borderId="39" xfId="0" applyNumberFormat="1" applyFont="1" applyBorder="1" applyAlignment="1">
      <alignment horizontal="center" vertical="center"/>
    </xf>
    <xf numFmtId="0" fontId="29" fillId="0" borderId="39" xfId="0" applyFont="1" applyBorder="1" applyAlignment="1">
      <alignment horizontal="center" vertical="center"/>
    </xf>
    <xf numFmtId="20" fontId="1" fillId="0" borderId="39" xfId="0" applyNumberFormat="1" applyFont="1" applyBorder="1" applyAlignment="1">
      <alignment horizontal="center" vertical="center"/>
    </xf>
    <xf numFmtId="20" fontId="1" fillId="0" borderId="56" xfId="0" applyNumberFormat="1" applyFont="1" applyBorder="1" applyAlignment="1">
      <alignment horizontal="center" vertical="center"/>
    </xf>
    <xf numFmtId="165" fontId="1" fillId="0" borderId="66" xfId="0" applyNumberFormat="1" applyFont="1" applyBorder="1" applyAlignment="1">
      <alignment horizontal="center" vertical="center"/>
    </xf>
    <xf numFmtId="165" fontId="1" fillId="0" borderId="39" xfId="0" applyNumberFormat="1" applyFont="1" applyBorder="1" applyAlignment="1">
      <alignment horizontal="center" vertical="center"/>
    </xf>
    <xf numFmtId="165" fontId="1" fillId="0" borderId="46" xfId="0" applyNumberFormat="1" applyFont="1" applyBorder="1" applyAlignment="1">
      <alignment horizontal="center" vertical="center"/>
    </xf>
    <xf numFmtId="165" fontId="1" fillId="0" borderId="27" xfId="0" applyNumberFormat="1" applyFont="1" applyBorder="1" applyAlignment="1">
      <alignment horizontal="center" vertical="center"/>
    </xf>
    <xf numFmtId="0" fontId="19" fillId="0" borderId="57" xfId="0" applyFont="1" applyBorder="1" applyAlignment="1">
      <alignment horizontal="center" vertical="center"/>
    </xf>
    <xf numFmtId="0" fontId="19" fillId="0" borderId="46" xfId="0" applyFont="1" applyBorder="1" applyAlignment="1">
      <alignment horizontal="center" vertical="center"/>
    </xf>
    <xf numFmtId="0" fontId="19" fillId="0" borderId="39" xfId="0" applyFont="1" applyBorder="1" applyAlignment="1">
      <alignment horizontal="center" vertical="center"/>
    </xf>
    <xf numFmtId="0" fontId="42" fillId="0" borderId="46" xfId="0" applyFont="1" applyBorder="1" applyAlignment="1">
      <alignment horizontal="center" vertical="center"/>
    </xf>
    <xf numFmtId="0" fontId="19" fillId="0" borderId="52" xfId="0" applyFont="1" applyBorder="1" applyAlignment="1">
      <alignment horizontal="center" vertical="center"/>
    </xf>
    <xf numFmtId="0" fontId="2" fillId="3" borderId="72" xfId="0" applyFont="1" applyFill="1" applyBorder="1" applyAlignment="1">
      <alignment horizontal="center" vertical="center"/>
    </xf>
    <xf numFmtId="49" fontId="29" fillId="0" borderId="73" xfId="0" applyNumberFormat="1" applyFont="1" applyBorder="1" applyAlignment="1">
      <alignment horizontal="center" vertical="center"/>
    </xf>
    <xf numFmtId="0" fontId="29" fillId="0" borderId="73" xfId="0" applyFont="1" applyBorder="1" applyAlignment="1">
      <alignment horizontal="center" vertical="center"/>
    </xf>
    <xf numFmtId="20" fontId="1" fillId="0" borderId="73" xfId="0" applyNumberFormat="1" applyFont="1" applyBorder="1" applyAlignment="1">
      <alignment horizontal="center" vertical="center"/>
    </xf>
    <xf numFmtId="20" fontId="1" fillId="0" borderId="74" xfId="0" applyNumberFormat="1" applyFont="1" applyBorder="1" applyAlignment="1">
      <alignment horizontal="center" vertical="center"/>
    </xf>
    <xf numFmtId="165" fontId="1" fillId="0" borderId="72" xfId="0" applyNumberFormat="1" applyFont="1" applyBorder="1" applyAlignment="1">
      <alignment horizontal="center" vertical="center"/>
    </xf>
    <xf numFmtId="165" fontId="1" fillId="0" borderId="73" xfId="0" applyNumberFormat="1" applyFont="1" applyBorder="1" applyAlignment="1">
      <alignment horizontal="center" vertical="center"/>
    </xf>
    <xf numFmtId="165" fontId="1" fillId="0" borderId="76" xfId="0" applyNumberFormat="1" applyFont="1" applyBorder="1" applyAlignment="1">
      <alignment horizontal="center" vertical="center"/>
    </xf>
    <xf numFmtId="165" fontId="1" fillId="0" borderId="71" xfId="0" applyNumberFormat="1" applyFont="1" applyBorder="1" applyAlignment="1">
      <alignment horizontal="center" vertical="center"/>
    </xf>
    <xf numFmtId="0" fontId="19" fillId="0" borderId="75" xfId="0" applyFont="1" applyBorder="1" applyAlignment="1">
      <alignment horizontal="center" vertical="center"/>
    </xf>
    <xf numFmtId="0" fontId="19" fillId="0" borderId="74" xfId="0" applyFont="1" applyBorder="1" applyAlignment="1">
      <alignment horizontal="center" vertical="center"/>
    </xf>
    <xf numFmtId="0" fontId="19" fillId="0" borderId="73" xfId="0" applyFont="1" applyBorder="1" applyAlignment="1">
      <alignment horizontal="center" vertical="center"/>
    </xf>
    <xf numFmtId="0" fontId="42" fillId="0" borderId="76"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42" xfId="0" applyFont="1" applyBorder="1" applyAlignment="1">
      <alignment horizontal="center" vertical="center"/>
    </xf>
    <xf numFmtId="165" fontId="1" fillId="0" borderId="44" xfId="0" applyNumberFormat="1" applyFont="1" applyBorder="1" applyAlignment="1">
      <alignment horizontal="center" vertical="center"/>
    </xf>
    <xf numFmtId="1" fontId="28" fillId="0" borderId="1" xfId="0" applyNumberFormat="1" applyFont="1" applyBorder="1" applyAlignment="1">
      <alignment horizontal="center" vertical="center"/>
    </xf>
    <xf numFmtId="1" fontId="28" fillId="0" borderId="10" xfId="0" applyNumberFormat="1" applyFont="1" applyBorder="1" applyAlignment="1">
      <alignment horizontal="center" vertical="center"/>
    </xf>
    <xf numFmtId="0" fontId="1" fillId="0" borderId="65" xfId="0" applyFont="1" applyBorder="1" applyAlignment="1">
      <alignment horizontal="center"/>
    </xf>
    <xf numFmtId="0" fontId="1" fillId="4" borderId="64" xfId="0" applyFont="1" applyFill="1" applyBorder="1" applyProtection="1">
      <protection locked="0"/>
    </xf>
    <xf numFmtId="49" fontId="1" fillId="4" borderId="63" xfId="0" applyNumberFormat="1" applyFont="1" applyFill="1" applyBorder="1" applyProtection="1">
      <protection locked="0"/>
    </xf>
    <xf numFmtId="0" fontId="1" fillId="4" borderId="68" xfId="0" applyFont="1" applyFill="1" applyBorder="1" applyAlignment="1" applyProtection="1">
      <alignment horizontal="center"/>
      <protection locked="0"/>
    </xf>
    <xf numFmtId="0" fontId="1" fillId="0" borderId="45" xfId="0" applyFont="1" applyBorder="1" applyAlignment="1">
      <alignment vertical="center" wrapText="1"/>
    </xf>
    <xf numFmtId="0" fontId="1" fillId="0" borderId="62" xfId="0" applyFont="1" applyBorder="1" applyAlignment="1">
      <alignment vertical="center" wrapText="1"/>
    </xf>
    <xf numFmtId="20" fontId="1" fillId="4" borderId="42" xfId="0" applyNumberFormat="1" applyFont="1" applyFill="1" applyBorder="1" applyAlignment="1" applyProtection="1">
      <alignment horizontal="center"/>
      <protection locked="0"/>
    </xf>
    <xf numFmtId="20" fontId="1" fillId="4" borderId="43" xfId="0" applyNumberFormat="1" applyFont="1" applyFill="1" applyBorder="1" applyAlignment="1" applyProtection="1">
      <alignment horizontal="center"/>
      <protection locked="0"/>
    </xf>
    <xf numFmtId="20" fontId="1" fillId="4" borderId="44" xfId="0" applyNumberFormat="1" applyFont="1" applyFill="1" applyBorder="1" applyAlignment="1" applyProtection="1">
      <alignment horizontal="center"/>
      <protection locked="0"/>
    </xf>
    <xf numFmtId="0" fontId="1" fillId="0" borderId="47" xfId="0" applyFont="1" applyBorder="1" applyAlignment="1">
      <alignment horizontal="center"/>
    </xf>
    <xf numFmtId="0" fontId="1" fillId="0" borderId="27" xfId="0" applyFont="1" applyBorder="1" applyAlignment="1">
      <alignment horizontal="center" vertical="center" wrapText="1"/>
    </xf>
    <xf numFmtId="0" fontId="1" fillId="0" borderId="27" xfId="0" applyFont="1" applyBorder="1" applyAlignment="1">
      <alignment horizontal="center" vertical="top" wrapText="1"/>
    </xf>
    <xf numFmtId="0" fontId="8" fillId="4" borderId="18" xfId="0" applyFont="1" applyFill="1" applyBorder="1" applyAlignment="1" applyProtection="1">
      <alignment horizontal="center" shrinkToFit="1"/>
      <protection locked="0"/>
    </xf>
    <xf numFmtId="0" fontId="8" fillId="4" borderId="19" xfId="0" applyFont="1" applyFill="1" applyBorder="1" applyAlignment="1" applyProtection="1">
      <alignment horizontal="center" shrinkToFit="1"/>
      <protection locked="0"/>
    </xf>
    <xf numFmtId="0" fontId="8" fillId="4" borderId="25" xfId="0" applyFont="1" applyFill="1" applyBorder="1" applyAlignment="1" applyProtection="1">
      <alignment horizontal="center" shrinkToFit="1"/>
      <protection locked="0"/>
    </xf>
    <xf numFmtId="0" fontId="1" fillId="4" borderId="20" xfId="0" applyFont="1" applyFill="1" applyBorder="1" applyAlignment="1" applyProtection="1">
      <alignment horizontal="center" shrinkToFit="1"/>
      <protection locked="0"/>
    </xf>
    <xf numFmtId="0" fontId="1" fillId="4" borderId="18" xfId="0" applyFont="1" applyFill="1" applyBorder="1" applyAlignment="1" applyProtection="1">
      <alignment horizontal="center" shrinkToFit="1"/>
      <protection locked="0"/>
    </xf>
    <xf numFmtId="0" fontId="1" fillId="4" borderId="19" xfId="0" applyFont="1" applyFill="1" applyBorder="1" applyAlignment="1" applyProtection="1">
      <alignment horizontal="center" shrinkToFit="1"/>
      <protection locked="0"/>
    </xf>
    <xf numFmtId="0" fontId="0" fillId="3" borderId="22" xfId="0" applyFill="1" applyBorder="1" applyAlignment="1">
      <alignment horizontal="center" vertical="center"/>
    </xf>
    <xf numFmtId="0" fontId="0" fillId="3" borderId="3" xfId="0" applyFill="1" applyBorder="1" applyAlignment="1">
      <alignment vertical="center"/>
    </xf>
    <xf numFmtId="165" fontId="0" fillId="5" borderId="3" xfId="0" applyNumberFormat="1" applyFill="1" applyBorder="1" applyAlignment="1">
      <alignment horizontal="center" vertical="center"/>
    </xf>
    <xf numFmtId="0" fontId="0" fillId="3" borderId="3" xfId="0" applyFill="1" applyBorder="1" applyAlignment="1">
      <alignment horizontal="center" vertical="center"/>
    </xf>
    <xf numFmtId="1" fontId="0" fillId="5" borderId="3" xfId="0" applyNumberFormat="1" applyFill="1" applyBorder="1" applyAlignment="1">
      <alignment horizontal="center" vertical="center"/>
    </xf>
    <xf numFmtId="0" fontId="0" fillId="5" borderId="3" xfId="0" applyFill="1" applyBorder="1" applyAlignment="1">
      <alignment horizontal="center" vertical="center"/>
    </xf>
    <xf numFmtId="0" fontId="0" fillId="3" borderId="24" xfId="0" applyFill="1" applyBorder="1" applyAlignment="1">
      <alignment horizontal="center" vertical="center"/>
    </xf>
    <xf numFmtId="15" fontId="0" fillId="5" borderId="0" xfId="0" applyNumberFormat="1" applyFill="1" applyAlignment="1">
      <alignment horizontal="center" vertical="center"/>
    </xf>
    <xf numFmtId="0" fontId="8" fillId="0" borderId="0" xfId="0" applyFont="1" applyAlignment="1">
      <alignment horizontal="center" vertical="center"/>
    </xf>
    <xf numFmtId="165" fontId="8" fillId="0" borderId="0" xfId="0" applyNumberFormat="1" applyFont="1" applyAlignment="1">
      <alignment horizontal="center" vertical="center" wrapText="1"/>
    </xf>
    <xf numFmtId="164" fontId="8" fillId="0" borderId="0" xfId="0" applyNumberFormat="1" applyFont="1" applyAlignment="1">
      <alignment horizontal="center" vertical="center"/>
    </xf>
    <xf numFmtId="1" fontId="8" fillId="0" borderId="0" xfId="0" applyNumberFormat="1" applyFont="1" applyAlignment="1">
      <alignment horizontal="center" vertical="center"/>
    </xf>
    <xf numFmtId="0" fontId="3" fillId="0" borderId="30" xfId="0" applyFont="1" applyBorder="1" applyAlignment="1">
      <alignment horizontal="right" vertical="center"/>
    </xf>
    <xf numFmtId="0" fontId="3" fillId="0" borderId="31" xfId="0" applyFont="1" applyBorder="1" applyAlignment="1">
      <alignment horizontal="right" vertical="center"/>
    </xf>
    <xf numFmtId="0" fontId="1" fillId="0" borderId="4" xfId="0" applyFont="1" applyBorder="1" applyAlignment="1">
      <alignment horizontal="center" vertical="center" wrapText="1"/>
    </xf>
    <xf numFmtId="0" fontId="1" fillId="0" borderId="7"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12" xfId="0" applyFont="1" applyBorder="1" applyAlignment="1">
      <alignment horizontal="center"/>
    </xf>
    <xf numFmtId="0" fontId="1" fillId="0" borderId="6"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8" xfId="0" applyFont="1" applyBorder="1" applyAlignment="1">
      <alignment horizontal="center" wrapText="1"/>
    </xf>
    <xf numFmtId="0" fontId="1" fillId="0" borderId="19" xfId="0" applyFont="1" applyBorder="1" applyAlignment="1">
      <alignment horizontal="center" wrapText="1"/>
    </xf>
    <xf numFmtId="0" fontId="1" fillId="0" borderId="25" xfId="0" applyFont="1" applyBorder="1" applyAlignment="1">
      <alignment horizontal="center" wrapText="1"/>
    </xf>
    <xf numFmtId="0" fontId="1" fillId="0" borderId="27" xfId="0" applyFont="1" applyBorder="1" applyAlignment="1">
      <alignment horizontal="center" wrapText="1"/>
    </xf>
    <xf numFmtId="0" fontId="1" fillId="0" borderId="28" xfId="0" applyFont="1" applyBorder="1" applyAlignment="1">
      <alignment horizontal="center" wrapText="1"/>
    </xf>
    <xf numFmtId="0" fontId="1" fillId="0" borderId="29" xfId="0" applyFont="1" applyBorder="1" applyAlignment="1">
      <alignment horizontal="center" wrapText="1"/>
    </xf>
    <xf numFmtId="0" fontId="2" fillId="0" borderId="0" xfId="0" applyFont="1" applyAlignment="1">
      <alignment horizontal="right"/>
    </xf>
    <xf numFmtId="0" fontId="2" fillId="0" borderId="0" xfId="0" applyFont="1" applyAlignment="1">
      <alignment horizontal="center" vertical="center"/>
    </xf>
    <xf numFmtId="165" fontId="22" fillId="0" borderId="32" xfId="0" applyNumberFormat="1" applyFont="1" applyBorder="1" applyAlignment="1">
      <alignment horizontal="center" vertical="center" wrapText="1"/>
    </xf>
    <xf numFmtId="165" fontId="22" fillId="0" borderId="33" xfId="0" applyNumberFormat="1" applyFont="1" applyBorder="1" applyAlignment="1">
      <alignment horizontal="center" vertical="center" wrapText="1"/>
    </xf>
    <xf numFmtId="1" fontId="20" fillId="4" borderId="32" xfId="0" applyNumberFormat="1" applyFont="1" applyFill="1" applyBorder="1" applyAlignment="1" applyProtection="1">
      <alignment horizontal="center" vertical="center" wrapText="1"/>
      <protection locked="0"/>
    </xf>
    <xf numFmtId="1" fontId="20" fillId="4" borderId="33" xfId="0" applyNumberFormat="1" applyFont="1" applyFill="1" applyBorder="1" applyAlignment="1" applyProtection="1">
      <alignment horizontal="center" vertical="center" wrapText="1"/>
      <protection locked="0"/>
    </xf>
    <xf numFmtId="0" fontId="21" fillId="0" borderId="0" xfId="0" applyFont="1" applyAlignment="1">
      <alignment horizontal="left" vertical="center" wrapText="1"/>
    </xf>
    <xf numFmtId="165"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1" fillId="0" borderId="0" xfId="0" applyFont="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xf numFmtId="0" fontId="1" fillId="0" borderId="25" xfId="0" applyFont="1" applyBorder="1" applyAlignment="1">
      <alignment horizontal="center"/>
    </xf>
    <xf numFmtId="0" fontId="30" fillId="0" borderId="28" xfId="0" applyFont="1" applyBorder="1" applyAlignment="1">
      <alignment horizontal="left" vertical="top" wrapText="1"/>
    </xf>
    <xf numFmtId="0" fontId="30" fillId="0" borderId="29" xfId="0" applyFont="1" applyBorder="1" applyAlignment="1">
      <alignment horizontal="left" vertical="top" wrapText="1"/>
    </xf>
    <xf numFmtId="0" fontId="1" fillId="3" borderId="19" xfId="0" applyFont="1" applyFill="1" applyBorder="1" applyAlignment="1">
      <alignment horizontal="center" vertical="center" textRotation="90" wrapText="1"/>
    </xf>
    <xf numFmtId="0" fontId="1" fillId="3" borderId="20" xfId="0" applyFont="1" applyFill="1" applyBorder="1" applyAlignment="1">
      <alignment horizontal="center" vertical="center" textRotation="90" wrapText="1"/>
    </xf>
    <xf numFmtId="0" fontId="2" fillId="3" borderId="2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8" xfId="0" applyFont="1" applyFill="1" applyBorder="1" applyAlignment="1">
      <alignment horizontal="center" vertical="center"/>
    </xf>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16" xfId="0" applyFont="1" applyFill="1" applyBorder="1" applyAlignment="1">
      <alignment horizontal="center" wrapText="1"/>
    </xf>
    <xf numFmtId="0" fontId="4" fillId="3" borderId="8" xfId="0" applyFont="1" applyFill="1" applyBorder="1" applyAlignment="1">
      <alignment horizontal="center"/>
    </xf>
    <xf numFmtId="49" fontId="29" fillId="0" borderId="52" xfId="0" applyNumberFormat="1" applyFont="1" applyBorder="1" applyAlignment="1">
      <alignment horizontal="center" vertical="center"/>
    </xf>
    <xf numFmtId="49" fontId="29" fillId="0" borderId="59" xfId="0" applyNumberFormat="1" applyFont="1" applyBorder="1" applyAlignment="1">
      <alignment horizontal="center" vertical="center"/>
    </xf>
    <xf numFmtId="0" fontId="15" fillId="3" borderId="7" xfId="0" applyFont="1" applyFill="1" applyBorder="1" applyAlignment="1">
      <alignment horizontal="center" vertical="center" wrapText="1"/>
    </xf>
    <xf numFmtId="0" fontId="15" fillId="3" borderId="1" xfId="0" applyFont="1" applyFill="1" applyBorder="1" applyAlignment="1">
      <alignment horizontal="center" vertical="center"/>
    </xf>
    <xf numFmtId="0" fontId="15" fillId="3" borderId="8" xfId="0" applyFont="1" applyFill="1" applyBorder="1" applyAlignment="1">
      <alignment horizontal="center" vertical="center"/>
    </xf>
    <xf numFmtId="0" fontId="15" fillId="3" borderId="7" xfId="0" applyFont="1" applyFill="1" applyBorder="1" applyAlignment="1">
      <alignment horizontal="center" vertical="center"/>
    </xf>
    <xf numFmtId="0" fontId="15" fillId="3" borderId="16" xfId="0" applyFont="1" applyFill="1" applyBorder="1" applyAlignment="1">
      <alignment horizontal="center" vertical="center" textRotation="90"/>
    </xf>
    <xf numFmtId="0" fontId="15" fillId="3" borderId="17" xfId="0" applyFont="1" applyFill="1" applyBorder="1" applyAlignment="1">
      <alignment horizontal="center" vertical="center" textRotation="90"/>
    </xf>
    <xf numFmtId="0" fontId="15" fillId="3" borderId="1" xfId="0" applyFont="1" applyFill="1" applyBorder="1" applyAlignment="1">
      <alignment horizontal="center" vertical="center" textRotation="90"/>
    </xf>
    <xf numFmtId="0" fontId="15" fillId="3" borderId="10" xfId="0" applyFont="1" applyFill="1" applyBorder="1" applyAlignment="1">
      <alignment horizontal="center" vertical="center" textRotation="90"/>
    </xf>
    <xf numFmtId="0" fontId="15" fillId="3" borderId="8" xfId="0" applyFont="1" applyFill="1" applyBorder="1" applyAlignment="1">
      <alignment horizontal="center" vertical="center" textRotation="90" wrapText="1"/>
    </xf>
    <xf numFmtId="0" fontId="15" fillId="3" borderId="8" xfId="0" applyFont="1" applyFill="1" applyBorder="1" applyAlignment="1">
      <alignment horizontal="center" vertical="center" textRotation="90"/>
    </xf>
    <xf numFmtId="0" fontId="15" fillId="3" borderId="11" xfId="0" applyFont="1" applyFill="1" applyBorder="1" applyAlignment="1">
      <alignment horizontal="center" vertical="center" textRotation="90"/>
    </xf>
    <xf numFmtId="0" fontId="1" fillId="3" borderId="7"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8" xfId="0" applyFont="1" applyFill="1" applyBorder="1" applyAlignment="1">
      <alignment horizontal="center" vertical="center" wrapText="1"/>
    </xf>
    <xf numFmtId="49" fontId="29" fillId="0" borderId="56" xfId="0" applyNumberFormat="1" applyFont="1" applyBorder="1" applyAlignment="1">
      <alignment horizontal="center" vertical="center"/>
    </xf>
    <xf numFmtId="49" fontId="29" fillId="0" borderId="57" xfId="0" applyNumberFormat="1" applyFont="1" applyBorder="1" applyAlignment="1">
      <alignment horizontal="center" vertical="center"/>
    </xf>
    <xf numFmtId="15" fontId="18" fillId="0" borderId="0" xfId="0" applyNumberFormat="1" applyFont="1" applyAlignment="1">
      <alignment horizontal="center"/>
    </xf>
    <xf numFmtId="0" fontId="34" fillId="0" borderId="0" xfId="0" applyFont="1" applyAlignment="1">
      <alignment horizontal="left"/>
    </xf>
    <xf numFmtId="0" fontId="15" fillId="3" borderId="14" xfId="0" applyFont="1" applyFill="1" applyBorder="1" applyAlignment="1">
      <alignment horizontal="center" vertical="center" wrapText="1"/>
    </xf>
    <xf numFmtId="0" fontId="15" fillId="3" borderId="17" xfId="0" applyFont="1" applyFill="1" applyBorder="1" applyAlignment="1">
      <alignment horizontal="center" vertical="center" wrapText="1"/>
    </xf>
    <xf numFmtId="0" fontId="16" fillId="3" borderId="4" xfId="0" applyFont="1" applyFill="1" applyBorder="1" applyAlignment="1">
      <alignment horizontal="center" vertical="center"/>
    </xf>
    <xf numFmtId="0" fontId="16" fillId="3" borderId="5" xfId="0" applyFont="1" applyFill="1" applyBorder="1" applyAlignment="1">
      <alignment horizontal="center" vertical="center"/>
    </xf>
    <xf numFmtId="0" fontId="16" fillId="3" borderId="39" xfId="0" applyFont="1" applyFill="1" applyBorder="1" applyAlignment="1">
      <alignment horizontal="center" vertical="center"/>
    </xf>
    <xf numFmtId="0" fontId="16" fillId="3" borderId="6" xfId="0" applyFont="1" applyFill="1" applyBorder="1" applyAlignment="1">
      <alignment horizontal="center" vertical="center"/>
    </xf>
    <xf numFmtId="0" fontId="2" fillId="3" borderId="7" xfId="0" applyFont="1" applyFill="1" applyBorder="1" applyAlignment="1">
      <alignment horizontal="center" vertical="center" textRotation="90" wrapText="1"/>
    </xf>
    <xf numFmtId="0" fontId="2" fillId="3" borderId="9" xfId="0" applyFont="1" applyFill="1" applyBorder="1" applyAlignment="1">
      <alignment horizontal="center" vertical="center" textRotation="90" wrapText="1"/>
    </xf>
    <xf numFmtId="0" fontId="4" fillId="3" borderId="1" xfId="0" applyFont="1" applyFill="1" applyBorder="1" applyAlignment="1">
      <alignment horizontal="center" vertical="center" wrapText="1"/>
    </xf>
    <xf numFmtId="0" fontId="16" fillId="0" borderId="0" xfId="0" applyFont="1" applyAlignment="1">
      <alignment horizontal="right"/>
    </xf>
    <xf numFmtId="0" fontId="29" fillId="0" borderId="0" xfId="0" applyFont="1" applyAlignment="1">
      <alignment horizontal="right" wrapText="1"/>
    </xf>
    <xf numFmtId="0" fontId="29" fillId="0" borderId="0" xfId="0" applyFont="1" applyAlignment="1">
      <alignment horizontal="right"/>
    </xf>
    <xf numFmtId="0" fontId="18" fillId="0" borderId="0" xfId="0" applyFont="1" applyAlignment="1">
      <alignment horizontal="center"/>
    </xf>
    <xf numFmtId="0" fontId="15" fillId="3" borderId="1"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2" fillId="3" borderId="1" xfId="0" applyFont="1" applyFill="1" applyBorder="1" applyAlignment="1">
      <alignment horizontal="center" vertical="center" textRotation="90" wrapText="1"/>
    </xf>
    <xf numFmtId="0" fontId="2" fillId="3" borderId="10" xfId="0" applyFont="1" applyFill="1" applyBorder="1" applyAlignment="1">
      <alignment horizontal="center" vertical="center" textRotation="90" wrapText="1"/>
    </xf>
    <xf numFmtId="0" fontId="2" fillId="3" borderId="13" xfId="0" applyFont="1" applyFill="1" applyBorder="1" applyAlignment="1">
      <alignment horizontal="center" vertical="center" textRotation="90" wrapText="1"/>
    </xf>
    <xf numFmtId="0" fontId="2" fillId="3" borderId="14" xfId="0" applyFont="1" applyFill="1" applyBorder="1" applyAlignment="1">
      <alignment horizontal="center" vertical="center" textRotation="90" wrapText="1"/>
    </xf>
    <xf numFmtId="0" fontId="30" fillId="0" borderId="56" xfId="0" applyFont="1" applyBorder="1" applyAlignment="1">
      <alignment horizontal="left" vertical="center" wrapText="1"/>
    </xf>
    <xf numFmtId="0" fontId="30" fillId="0" borderId="57" xfId="0" applyFont="1" applyBorder="1" applyAlignment="1">
      <alignment horizontal="left" vertical="center" wrapText="1"/>
    </xf>
    <xf numFmtId="0" fontId="30" fillId="0" borderId="54" xfId="0" applyFont="1" applyBorder="1" applyAlignment="1">
      <alignment horizontal="left" vertical="center" wrapText="1"/>
    </xf>
    <xf numFmtId="0" fontId="30" fillId="0" borderId="48" xfId="0" applyFont="1" applyBorder="1" applyAlignment="1">
      <alignment horizontal="left" vertical="center" wrapText="1"/>
    </xf>
    <xf numFmtId="164" fontId="2" fillId="3" borderId="10" xfId="0" applyNumberFormat="1" applyFont="1" applyFill="1" applyBorder="1" applyAlignment="1">
      <alignment horizontal="right" vertical="center"/>
    </xf>
    <xf numFmtId="164" fontId="2" fillId="3" borderId="14" xfId="0" applyNumberFormat="1" applyFont="1" applyFill="1" applyBorder="1" applyAlignment="1">
      <alignment horizontal="right" vertical="center"/>
    </xf>
    <xf numFmtId="0" fontId="19" fillId="3" borderId="15" xfId="0" applyFont="1" applyFill="1" applyBorder="1" applyAlignment="1">
      <alignment horizontal="center" vertical="center"/>
    </xf>
    <xf numFmtId="0" fontId="19" fillId="3" borderId="12" xfId="0" applyFont="1" applyFill="1" applyBorder="1" applyAlignment="1">
      <alignment horizontal="center" vertical="center"/>
    </xf>
    <xf numFmtId="0" fontId="19" fillId="3" borderId="17" xfId="0" applyFont="1" applyFill="1" applyBorder="1" applyAlignment="1">
      <alignment horizontal="center" vertical="center"/>
    </xf>
    <xf numFmtId="0" fontId="19" fillId="3" borderId="14" xfId="0" applyFont="1" applyFill="1" applyBorder="1" applyAlignment="1">
      <alignment horizontal="center" vertical="center"/>
    </xf>
    <xf numFmtId="0" fontId="19" fillId="3" borderId="5" xfId="0" applyFont="1" applyFill="1" applyBorder="1" applyAlignment="1">
      <alignment horizontal="center" vertical="center"/>
    </xf>
    <xf numFmtId="0" fontId="19" fillId="3" borderId="6" xfId="0" applyFont="1" applyFill="1" applyBorder="1" applyAlignment="1">
      <alignment horizontal="center" vertical="center"/>
    </xf>
    <xf numFmtId="0" fontId="19" fillId="3" borderId="10" xfId="0" applyFont="1" applyFill="1" applyBorder="1" applyAlignment="1">
      <alignment horizontal="center" vertical="center"/>
    </xf>
    <xf numFmtId="0" fontId="19" fillId="3" borderId="11" xfId="0" applyFont="1" applyFill="1" applyBorder="1" applyAlignment="1">
      <alignment horizontal="center" vertical="center"/>
    </xf>
    <xf numFmtId="0" fontId="29" fillId="0" borderId="0" xfId="0" applyFont="1" applyAlignment="1">
      <alignment horizontal="left" vertical="center"/>
    </xf>
    <xf numFmtId="0" fontId="28" fillId="0" borderId="45" xfId="0" applyFont="1" applyBorder="1" applyAlignment="1">
      <alignment horizontal="center" vertical="center"/>
    </xf>
    <xf numFmtId="0" fontId="36" fillId="0" borderId="45" xfId="0" applyFont="1" applyBorder="1" applyAlignment="1">
      <alignment horizontal="center" vertical="center"/>
    </xf>
    <xf numFmtId="0" fontId="16" fillId="0" borderId="0" xfId="0" applyFont="1" applyAlignment="1">
      <alignment horizontal="center"/>
    </xf>
    <xf numFmtId="0" fontId="2" fillId="3" borderId="4" xfId="0" applyFont="1" applyFill="1" applyBorder="1" applyAlignment="1">
      <alignment horizontal="center" vertical="center" wrapText="1"/>
    </xf>
    <xf numFmtId="0" fontId="2" fillId="3" borderId="9" xfId="0" applyFont="1" applyFill="1" applyBorder="1" applyAlignment="1">
      <alignment horizontal="center" vertical="center"/>
    </xf>
    <xf numFmtId="0" fontId="30" fillId="0" borderId="5" xfId="0" applyFont="1" applyBorder="1" applyAlignment="1">
      <alignment horizontal="left" vertical="center" wrapText="1"/>
    </xf>
    <xf numFmtId="0" fontId="30" fillId="0" borderId="10" xfId="0" applyFont="1" applyBorder="1" applyAlignment="1">
      <alignment horizontal="left" vertical="center"/>
    </xf>
    <xf numFmtId="0" fontId="2" fillId="3" borderId="5" xfId="0" applyFont="1" applyFill="1" applyBorder="1" applyAlignment="1">
      <alignment horizontal="center" vertical="center" wrapText="1"/>
    </xf>
    <xf numFmtId="0" fontId="2" fillId="3" borderId="10" xfId="0" applyFont="1" applyFill="1" applyBorder="1" applyAlignment="1">
      <alignment horizontal="center" vertical="center"/>
    </xf>
    <xf numFmtId="164" fontId="2" fillId="3" borderId="5" xfId="0" applyNumberFormat="1" applyFont="1" applyFill="1" applyBorder="1" applyAlignment="1">
      <alignment horizontal="right" vertical="center"/>
    </xf>
    <xf numFmtId="164" fontId="2" fillId="3" borderId="12" xfId="0" applyNumberFormat="1" applyFont="1" applyFill="1" applyBorder="1" applyAlignment="1">
      <alignment horizontal="right" vertical="center"/>
    </xf>
    <xf numFmtId="0" fontId="2" fillId="3" borderId="22" xfId="0" applyFont="1" applyFill="1" applyBorder="1" applyAlignment="1">
      <alignment horizontal="center" vertical="center" textRotation="90" wrapText="1"/>
    </xf>
    <xf numFmtId="0" fontId="15" fillId="3" borderId="3" xfId="0" applyFont="1" applyFill="1" applyBorder="1" applyAlignment="1">
      <alignment horizontal="center" vertical="center" wrapText="1"/>
    </xf>
    <xf numFmtId="0" fontId="2" fillId="3" borderId="3" xfId="0" applyFont="1" applyFill="1" applyBorder="1" applyAlignment="1">
      <alignment horizontal="center" vertical="center" textRotation="90" wrapText="1"/>
    </xf>
    <xf numFmtId="0" fontId="2" fillId="3" borderId="23" xfId="0" applyFont="1" applyFill="1" applyBorder="1" applyAlignment="1">
      <alignment horizontal="center" vertical="center" textRotation="90" wrapText="1"/>
    </xf>
    <xf numFmtId="0" fontId="2" fillId="3" borderId="7" xfId="0" applyFont="1" applyFill="1" applyBorder="1" applyAlignment="1">
      <alignment horizontal="center" vertical="center"/>
    </xf>
    <xf numFmtId="0" fontId="15" fillId="3" borderId="47" xfId="0" applyFont="1" applyFill="1" applyBorder="1" applyAlignment="1">
      <alignment horizontal="center" vertical="center" textRotation="90"/>
    </xf>
    <xf numFmtId="0" fontId="15" fillId="3" borderId="3" xfId="0" applyFont="1" applyFill="1" applyBorder="1" applyAlignment="1">
      <alignment horizontal="center" vertical="center" textRotation="90"/>
    </xf>
    <xf numFmtId="0" fontId="15" fillId="3" borderId="24" xfId="0" applyFont="1" applyFill="1" applyBorder="1" applyAlignment="1">
      <alignment horizontal="center" vertical="center" textRotation="90"/>
    </xf>
    <xf numFmtId="0" fontId="15" fillId="3" borderId="23" xfId="0" applyFont="1" applyFill="1" applyBorder="1" applyAlignment="1">
      <alignment horizontal="center" vertical="center" wrapText="1"/>
    </xf>
    <xf numFmtId="0" fontId="15" fillId="3" borderId="47" xfId="0" applyFont="1" applyFill="1" applyBorder="1" applyAlignment="1">
      <alignment horizontal="center" vertical="center" wrapText="1"/>
    </xf>
    <xf numFmtId="164" fontId="2" fillId="3" borderId="42" xfId="0" applyNumberFormat="1" applyFont="1" applyFill="1" applyBorder="1" applyAlignment="1">
      <alignment horizontal="right" vertical="center"/>
    </xf>
    <xf numFmtId="164" fontId="2" fillId="3" borderId="55" xfId="0" applyNumberFormat="1" applyFont="1" applyFill="1" applyBorder="1" applyAlignment="1">
      <alignment horizontal="right" vertical="center"/>
    </xf>
    <xf numFmtId="164" fontId="2" fillId="3" borderId="67" xfId="0" applyNumberFormat="1" applyFont="1" applyFill="1" applyBorder="1" applyAlignment="1">
      <alignment horizontal="right" vertical="center"/>
    </xf>
    <xf numFmtId="0" fontId="19" fillId="3" borderId="45" xfId="0" applyFont="1" applyFill="1" applyBorder="1" applyAlignment="1">
      <alignment horizontal="center" vertical="center"/>
    </xf>
    <xf numFmtId="0" fontId="19" fillId="3" borderId="61" xfId="0" applyFont="1" applyFill="1" applyBorder="1" applyAlignment="1">
      <alignment horizontal="center" vertical="center"/>
    </xf>
    <xf numFmtId="0" fontId="19" fillId="3" borderId="60" xfId="0" applyFont="1" applyFill="1" applyBorder="1" applyAlignment="1">
      <alignment horizontal="center" vertical="center"/>
    </xf>
    <xf numFmtId="0" fontId="19" fillId="3" borderId="31" xfId="0" applyFont="1" applyFill="1" applyBorder="1" applyAlignment="1">
      <alignment horizontal="center" vertical="center"/>
    </xf>
    <xf numFmtId="49" fontId="29" fillId="0" borderId="74" xfId="0" applyNumberFormat="1" applyFont="1" applyBorder="1" applyAlignment="1">
      <alignment horizontal="center" vertical="center"/>
    </xf>
    <xf numFmtId="49" fontId="29" fillId="0" borderId="75" xfId="0" applyNumberFormat="1" applyFont="1" applyBorder="1" applyAlignment="1">
      <alignment horizontal="center" vertical="center"/>
    </xf>
    <xf numFmtId="0" fontId="1" fillId="3" borderId="45" xfId="0" applyFont="1" applyFill="1" applyBorder="1" applyAlignment="1">
      <alignment horizontal="center"/>
    </xf>
    <xf numFmtId="0" fontId="1" fillId="3" borderId="60" xfId="0" applyFont="1" applyFill="1" applyBorder="1" applyAlignment="1">
      <alignment horizontal="center"/>
    </xf>
    <xf numFmtId="0" fontId="1" fillId="3" borderId="61" xfId="0" applyFont="1" applyFill="1" applyBorder="1" applyAlignment="1">
      <alignment horizontal="center"/>
    </xf>
    <xf numFmtId="0" fontId="1" fillId="3" borderId="31" xfId="0" applyFont="1" applyFill="1" applyBorder="1" applyAlignment="1">
      <alignment horizontal="center"/>
    </xf>
    <xf numFmtId="0" fontId="1" fillId="3" borderId="41" xfId="0" applyFont="1" applyFill="1" applyBorder="1" applyAlignment="1">
      <alignment horizontal="center" vertical="top" wrapText="1"/>
    </xf>
    <xf numFmtId="0" fontId="1" fillId="3" borderId="45" xfId="0" applyFont="1" applyFill="1" applyBorder="1" applyAlignment="1">
      <alignment horizontal="center" vertical="top" wrapText="1"/>
    </xf>
    <xf numFmtId="0" fontId="1" fillId="3" borderId="30" xfId="0" applyFont="1" applyFill="1" applyBorder="1" applyAlignment="1">
      <alignment horizontal="center" vertical="top" wrapText="1"/>
    </xf>
    <xf numFmtId="0" fontId="1" fillId="3" borderId="61" xfId="0" applyFont="1" applyFill="1" applyBorder="1" applyAlignment="1">
      <alignment horizontal="center" vertical="top" wrapText="1"/>
    </xf>
    <xf numFmtId="0" fontId="1" fillId="3" borderId="15" xfId="0" applyFont="1" applyFill="1" applyBorder="1" applyAlignment="1">
      <alignment horizontal="center"/>
    </xf>
    <xf numFmtId="0" fontId="1" fillId="3" borderId="12" xfId="0" applyFont="1" applyFill="1" applyBorder="1" applyAlignment="1">
      <alignment horizontal="center"/>
    </xf>
    <xf numFmtId="0" fontId="1" fillId="3" borderId="17" xfId="0" applyFont="1" applyFill="1" applyBorder="1" applyAlignment="1">
      <alignment horizontal="center"/>
    </xf>
    <xf numFmtId="0" fontId="1" fillId="3" borderId="14" xfId="0" applyFont="1" applyFill="1" applyBorder="1" applyAlignment="1">
      <alignment horizontal="center"/>
    </xf>
    <xf numFmtId="165" fontId="2" fillId="3" borderId="32" xfId="0" applyNumberFormat="1" applyFont="1" applyFill="1" applyBorder="1" applyAlignment="1">
      <alignment horizontal="center" vertical="center"/>
    </xf>
    <xf numFmtId="165" fontId="2" fillId="3" borderId="67" xfId="0" applyNumberFormat="1" applyFont="1" applyFill="1" applyBorder="1" applyAlignment="1">
      <alignment horizontal="center" vertical="center"/>
    </xf>
    <xf numFmtId="165" fontId="2" fillId="3" borderId="33" xfId="0" applyNumberFormat="1" applyFont="1" applyFill="1" applyBorder="1" applyAlignment="1">
      <alignment horizontal="center" vertical="center"/>
    </xf>
    <xf numFmtId="165" fontId="2" fillId="3" borderId="41" xfId="0" applyNumberFormat="1" applyFont="1" applyFill="1" applyBorder="1" applyAlignment="1">
      <alignment horizontal="center" vertical="center"/>
    </xf>
    <xf numFmtId="165" fontId="2" fillId="3" borderId="45" xfId="0" applyNumberFormat="1" applyFont="1" applyFill="1" applyBorder="1" applyAlignment="1">
      <alignment horizontal="center" vertical="center"/>
    </xf>
    <xf numFmtId="165" fontId="2" fillId="3" borderId="60" xfId="0" applyNumberFormat="1" applyFont="1" applyFill="1" applyBorder="1" applyAlignment="1">
      <alignment horizontal="center" vertical="center"/>
    </xf>
    <xf numFmtId="165" fontId="2" fillId="0" borderId="69" xfId="0" applyNumberFormat="1" applyFont="1" applyBorder="1" applyAlignment="1">
      <alignment horizontal="center" vertical="center"/>
    </xf>
    <xf numFmtId="165" fontId="2" fillId="0" borderId="44" xfId="0" applyNumberFormat="1" applyFont="1" applyBorder="1" applyAlignment="1">
      <alignment horizontal="center" vertical="center"/>
    </xf>
    <xf numFmtId="165" fontId="2" fillId="0" borderId="70" xfId="0" applyNumberFormat="1" applyFont="1" applyBorder="1" applyAlignment="1">
      <alignment horizontal="center" vertical="center"/>
    </xf>
    <xf numFmtId="165" fontId="2" fillId="3" borderId="0" xfId="0" applyNumberFormat="1" applyFont="1" applyFill="1" applyAlignment="1">
      <alignment horizontal="center" vertical="center"/>
    </xf>
    <xf numFmtId="165" fontId="2" fillId="3" borderId="61" xfId="0" applyNumberFormat="1" applyFont="1" applyFill="1" applyBorder="1" applyAlignment="1">
      <alignment horizontal="center" vertical="center"/>
    </xf>
    <xf numFmtId="165" fontId="2" fillId="0" borderId="56" xfId="0" applyNumberFormat="1" applyFont="1" applyBorder="1" applyAlignment="1">
      <alignment horizontal="center" vertical="center"/>
    </xf>
    <xf numFmtId="165" fontId="2" fillId="0" borderId="45" xfId="0" applyNumberFormat="1" applyFont="1" applyBorder="1" applyAlignment="1">
      <alignment horizontal="center" vertical="center"/>
    </xf>
    <xf numFmtId="165" fontId="2" fillId="0" borderId="60" xfId="0" applyNumberFormat="1" applyFont="1" applyBorder="1" applyAlignment="1">
      <alignment horizontal="center" vertical="center"/>
    </xf>
    <xf numFmtId="165" fontId="2" fillId="0" borderId="54" xfId="0" applyNumberFormat="1" applyFont="1" applyBorder="1" applyAlignment="1">
      <alignment horizontal="center" vertical="center"/>
    </xf>
    <xf numFmtId="165" fontId="2" fillId="0" borderId="61" xfId="0" applyNumberFormat="1" applyFont="1" applyBorder="1" applyAlignment="1">
      <alignment horizontal="center" vertical="center"/>
    </xf>
    <xf numFmtId="165" fontId="2" fillId="0" borderId="31" xfId="0" applyNumberFormat="1" applyFont="1" applyBorder="1" applyAlignment="1">
      <alignment horizontal="center" vertical="center"/>
    </xf>
    <xf numFmtId="0" fontId="16" fillId="0" borderId="45" xfId="0" applyFont="1" applyBorder="1" applyAlignment="1">
      <alignment horizontal="center" vertical="center"/>
    </xf>
    <xf numFmtId="0" fontId="2" fillId="3" borderId="5" xfId="0" applyFont="1" applyFill="1" applyBorder="1" applyAlignment="1">
      <alignment horizontal="right" vertical="center"/>
    </xf>
    <xf numFmtId="164" fontId="28" fillId="0" borderId="5" xfId="0" applyNumberFormat="1" applyFont="1" applyBorder="1" applyAlignment="1">
      <alignment horizontal="center" vertical="center"/>
    </xf>
    <xf numFmtId="164" fontId="28" fillId="0" borderId="6" xfId="0" applyNumberFormat="1" applyFont="1" applyBorder="1" applyAlignment="1">
      <alignment horizontal="center" vertical="center"/>
    </xf>
    <xf numFmtId="0" fontId="2" fillId="3" borderId="1" xfId="0" applyFont="1" applyFill="1" applyBorder="1" applyAlignment="1">
      <alignment horizontal="right" vertical="center"/>
    </xf>
    <xf numFmtId="164" fontId="28" fillId="0" borderId="1" xfId="0" applyNumberFormat="1" applyFont="1" applyBorder="1" applyAlignment="1">
      <alignment horizontal="center" vertical="center"/>
    </xf>
    <xf numFmtId="164" fontId="28" fillId="0" borderId="8" xfId="0" applyNumberFormat="1" applyFont="1" applyBorder="1" applyAlignment="1">
      <alignment horizontal="center" vertical="center"/>
    </xf>
    <xf numFmtId="0" fontId="2" fillId="3" borderId="10" xfId="0" applyFont="1" applyFill="1" applyBorder="1" applyAlignment="1">
      <alignment horizontal="right" vertical="center"/>
    </xf>
    <xf numFmtId="164" fontId="28" fillId="0" borderId="10" xfId="0" applyNumberFormat="1" applyFont="1" applyBorder="1" applyAlignment="1">
      <alignment horizontal="center" vertical="center"/>
    </xf>
    <xf numFmtId="164" fontId="28" fillId="0" borderId="11" xfId="0" applyNumberFormat="1" applyFont="1" applyBorder="1" applyAlignment="1">
      <alignment horizontal="center" vertical="center"/>
    </xf>
    <xf numFmtId="0" fontId="2" fillId="3" borderId="4" xfId="0" applyFont="1" applyFill="1" applyBorder="1" applyAlignment="1">
      <alignment horizontal="right" vertical="center"/>
    </xf>
    <xf numFmtId="0" fontId="2" fillId="3" borderId="7" xfId="0" applyFont="1" applyFill="1" applyBorder="1" applyAlignment="1">
      <alignment horizontal="right" vertical="center"/>
    </xf>
    <xf numFmtId="0" fontId="2" fillId="3" borderId="9" xfId="0" applyFont="1" applyFill="1" applyBorder="1" applyAlignment="1">
      <alignment horizontal="right" vertical="center"/>
    </xf>
    <xf numFmtId="0" fontId="7" fillId="5" borderId="6" xfId="0" applyFont="1" applyFill="1" applyBorder="1" applyAlignment="1">
      <alignment horizontal="center" vertical="center" wrapText="1"/>
    </xf>
    <xf numFmtId="0" fontId="7" fillId="5" borderId="8" xfId="0" applyFont="1" applyFill="1" applyBorder="1" applyAlignment="1">
      <alignment horizontal="center" vertical="center" wrapText="1"/>
    </xf>
    <xf numFmtId="0" fontId="39" fillId="5" borderId="0" xfId="0" applyFont="1" applyFill="1" applyAlignment="1">
      <alignment horizontal="left" vertical="center"/>
    </xf>
    <xf numFmtId="0" fontId="0" fillId="5" borderId="0" xfId="0" applyFill="1" applyAlignment="1">
      <alignment horizontal="center" vertical="center" wrapText="1"/>
    </xf>
    <xf numFmtId="0" fontId="7" fillId="5" borderId="4" xfId="0" applyFont="1" applyFill="1" applyBorder="1" applyAlignment="1">
      <alignment horizontal="center" vertical="center"/>
    </xf>
    <xf numFmtId="0" fontId="7" fillId="5" borderId="7" xfId="0" applyFont="1" applyFill="1" applyBorder="1" applyAlignment="1">
      <alignment horizontal="center" vertical="center"/>
    </xf>
    <xf numFmtId="0" fontId="7" fillId="5" borderId="5" xfId="0" applyFont="1" applyFill="1" applyBorder="1" applyAlignment="1">
      <alignment horizontal="center" vertical="center"/>
    </xf>
    <xf numFmtId="0" fontId="7" fillId="5" borderId="5"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1" fillId="0" borderId="0" xfId="0" applyFont="1" applyAlignment="1">
      <alignment horizontal="left"/>
    </xf>
  </cellXfs>
  <cellStyles count="2">
    <cellStyle name="Hyperlink" xfId="1" builtinId="8"/>
    <cellStyle name="Normal" xfId="0" builtinId="0"/>
  </cellStyles>
  <dxfs count="33">
    <dxf>
      <numFmt numFmtId="31" formatCode="[h]:mm:ss"/>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66" formatCode="[$-F400]h:mm:ss\ AM/PM"/>
    </dxf>
    <dxf>
      <numFmt numFmtId="25" formatCode="hh:mm"/>
    </dxf>
    <dxf>
      <numFmt numFmtId="0" formatCode="General"/>
    </dxf>
    <dxf>
      <numFmt numFmtId="30" formatCode="@"/>
    </dxf>
    <dxf>
      <numFmt numFmtId="30" formatCode="@"/>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dxf>
    <dxf>
      <numFmt numFmtId="30" formatCode="@"/>
    </dxf>
    <dxf>
      <numFmt numFmtId="0" formatCode="General"/>
    </dxf>
    <dxf>
      <numFmt numFmtId="0" formatCode="General"/>
    </dxf>
    <dxf>
      <border>
        <left style="thin">
          <color auto="1"/>
        </left>
        <right style="thin">
          <color auto="1"/>
        </right>
        <top style="thin">
          <color auto="1"/>
        </top>
        <bottom style="thin">
          <color auto="1"/>
        </bottom>
        <vertical/>
        <horizontal/>
      </border>
    </dxf>
    <dxf>
      <border>
        <bottom style="thin">
          <color auto="1"/>
        </bottom>
        <vertical/>
        <horizontal/>
      </border>
    </dxf>
    <dxf>
      <border>
        <bottom style="thin">
          <color auto="1"/>
        </bottom>
        <vertical/>
        <horizontal/>
      </border>
    </dxf>
    <dxf>
      <border>
        <bottom style="thin">
          <color auto="1"/>
        </bottom>
        <vertical/>
        <horizontal/>
      </border>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1/relationships/FeaturePropertyBag" Target="featurePropertyBag/featurePropertyBag.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Aircraft" displayName="Aircraft" ref="A1:B12" totalsRowShown="0">
  <autoFilter ref="A1:B12" xr:uid="{00000000-0009-0000-0100-000002000000}"/>
  <tableColumns count="2">
    <tableColumn id="1" xr3:uid="{00000000-0010-0000-0000-000001000000}" name="Number" dataDxfId="19"/>
    <tableColumn id="2" xr3:uid="{00000000-0010-0000-0000-000002000000}" name="Tail Letter"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650BB46-EC49-4163-9310-A834B654682A}" name="Pilots" displayName="Pilots" ref="A16:C44" totalsRowShown="0">
  <autoFilter ref="A16:C44" xr:uid="{D650BB46-EC49-4163-9310-A834B654682A}"/>
  <tableColumns count="3">
    <tableColumn id="1" xr3:uid="{EDA88DDF-B7BB-4636-B1DC-3C3E8E3B8767}" name="SN Last 3" dataDxfId="17"/>
    <tableColumn id="2" xr3:uid="{A04664A4-94B8-42D5-BE47-071B38CD0114}" name="Pilot"/>
    <tableColumn id="3" xr3:uid="{6D675960-0B38-4024-B05B-2943D22D5EB4}" name="Surnam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267F050-9B87-492A-B964-C57DC0069297}" name="Duty" displayName="Duty" ref="D1:D7" totalsRowShown="0" headerRowDxfId="16">
  <autoFilter ref="D1:D7" xr:uid="{E267F050-9B87-492A-B964-C57DC0069297}"/>
  <tableColumns count="1">
    <tableColumn id="1" xr3:uid="{4C9683E5-F7A6-4CF2-BC82-F18DBAFF4359}" name="Duty"/>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6E9DD0A-8BAB-43AF-9D4C-59F78F7EC142}" name="Table4" displayName="Table4" ref="F1:F9" totalsRowShown="0">
  <autoFilter ref="F1:F9" xr:uid="{B6E9DD0A-8BAB-43AF-9D4C-59F78F7EC142}"/>
  <tableColumns count="1">
    <tableColumn id="1" xr3:uid="{D69356C7-AB2A-48EE-BA99-BAE1D56197EE}" name="SPC Cod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D253B9E-7B93-494F-B5B0-B06B53604E1D}" name="Table10" displayName="Table10" ref="A1:L31" totalsRowShown="0" headerRowDxfId="15">
  <autoFilter ref="A1:L31" xr:uid="{ED253B9E-7B93-494F-B5B0-B06B53604E1D}"/>
  <tableColumns count="12">
    <tableColumn id="1" xr3:uid="{0537309C-7733-4286-8401-1787F6D79FA5}" name="AircraftCommander" dataDxfId="14">
      <calculatedColumnFormula>'2965B'!B10</calculatedColumnFormula>
    </tableColumn>
    <tableColumn id="2" xr3:uid="{E36C8A5D-360A-43A3-9BF3-957D1D742B95}" name="2ndPilot" dataDxfId="13">
      <calculatedColumnFormula>'2965B'!C10</calculatedColumnFormula>
    </tableColumn>
    <tableColumn id="14" xr3:uid="{519BC286-2429-4D8C-BF37-49D75957F187}" name="Duty" dataDxfId="12">
      <calculatedColumnFormula>'2965B'!D10</calculatedColumnFormula>
    </tableColumn>
    <tableColumn id="3" xr3:uid="{908FF989-E994-480E-89DA-04B9CA151C0F}" name="TakeOffTime" dataDxfId="11">
      <calculatedColumnFormula>'2965B'!E10</calculatedColumnFormula>
    </tableColumn>
    <tableColumn id="4" xr3:uid="{035E1E93-0CC7-493B-9BD8-2A5586F61B82}" name="LandingTime" dataDxfId="10">
      <calculatedColumnFormula>'2965B'!F10</calculatedColumnFormula>
    </tableColumn>
    <tableColumn id="5" xr3:uid="{7C733F3D-12BE-4EDA-991E-1765C9B1E502}" name="FlightTime" dataDxfId="9">
      <calculatedColumnFormula>ROUND((Table10[[#This Row],[LandingTime]]-Table10[[#This Row],[TakeOffTime]])*1440,0)</calculatedColumnFormula>
    </tableColumn>
    <tableColumn id="6" xr3:uid="{D5E11BE6-2AB1-4ED8-AA08-035BBB7B6BA3}" name="SPC" dataDxfId="8">
      <calculatedColumnFormula>'2965B'!S10</calculatedColumnFormula>
    </tableColumn>
    <tableColumn id="7" xr3:uid="{EBA216C5-1CAC-4B70-B446-973C74D44679}" name="PLF" dataDxfId="6">
      <calculatedColumnFormula>'2965B'!P10</calculatedColumnFormula>
    </tableColumn>
    <tableColumn id="8" xr3:uid="{7B0BC3BB-7554-4409-931A-B216E1D52121}" name="Aircraft" dataDxfId="5">
      <calculatedColumnFormula>'2965B'!$F$2</calculatedColumnFormula>
    </tableColumn>
    <tableColumn id="9" xr3:uid="{C4EF07CE-3815-4FFF-A448-52EAA50089F0}" name="Date" dataDxfId="4">
      <calculatedColumnFormula>'2965B'!$O$2</calculatedColumnFormula>
    </tableColumn>
    <tableColumn id="10" xr3:uid="{CFC85169-4187-44AD-B0EA-915C6F795E10}" name="P1" dataDxfId="3">
      <calculatedColumnFormula>'2965B'!L10</calculatedColumnFormula>
    </tableColumn>
    <tableColumn id="11" xr3:uid="{C676C24F-B042-4A0C-866E-0A44C97A5CFB}" name="P2" dataDxfId="2">
      <calculatedColumnFormula>'2965B'!M10</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DBF60F-7959-46A5-BB3A-A1CBCEF25568}" name="AC_Summary" displayName="AC_Summary" ref="A1:D2" totalsRowShown="0">
  <autoFilter ref="A1:D2" xr:uid="{84DBF60F-7959-46A5-BB3A-A1CBCEF25568}"/>
  <tableColumns count="4">
    <tableColumn id="1" xr3:uid="{08C8710C-7EF7-442E-A831-168AFA69977E}" name="Date" dataDxfId="1">
      <calculatedColumnFormula>'2965B'!$O$2</calculatedColumnFormula>
    </tableColumn>
    <tableColumn id="2" xr3:uid="{88F6D406-2F4F-4627-B74A-24F183AD30ED}" name="Aircraft">
      <calculatedColumnFormula>'2965B'!$F$2</calculatedColumnFormula>
    </tableColumn>
    <tableColumn id="3" xr3:uid="{46E0AE42-1F49-404E-B6E8-20F9374BBAC4}" name="Hours After" dataDxfId="0">
      <calculatedColumnFormula>'2965B'!$C$4+SUM('2965B'!$G$40:$N$40)</calculatedColumnFormula>
    </tableColumn>
    <tableColumn id="4" xr3:uid="{0A292065-BAF8-47A6-9369-4F962FFD8D96}" name="Launches After">
      <calculatedColumnFormula>'2965B'!$C$5+SUM('2965B'!$G$41:$N$41)</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viking.streamlit.app/" TargetMode="Externa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15ECF-67CB-4CF1-918D-A6C38E8D3E26}">
  <sheetPr>
    <pageSetUpPr fitToPage="1"/>
  </sheetPr>
  <dimension ref="A1:U45"/>
  <sheetViews>
    <sheetView showGridLines="0" tabSelected="1" zoomScale="90" zoomScaleNormal="90" zoomScaleSheetLayoutView="115" workbookViewId="0">
      <pane ySplit="9" topLeftCell="A10" activePane="bottomLeft" state="frozen"/>
      <selection pane="bottomLeft" activeCell="B10" sqref="B10"/>
    </sheetView>
  </sheetViews>
  <sheetFormatPr defaultColWidth="8.5703125" defaultRowHeight="14.25"/>
  <cols>
    <col min="1" max="1" width="4.28515625" style="8" customWidth="1"/>
    <col min="2" max="3" width="16.5703125" style="8" customWidth="1"/>
    <col min="4" max="4" width="9.42578125" style="8" customWidth="1"/>
    <col min="5" max="5" width="9.7109375" style="8" customWidth="1"/>
    <col min="6" max="6" width="9.7109375" style="8" bestFit="1" customWidth="1"/>
    <col min="7" max="13" width="5.5703125" style="8" customWidth="1"/>
    <col min="14" max="14" width="6.5703125" style="8" customWidth="1"/>
    <col min="15" max="15" width="25.28515625" style="8" customWidth="1"/>
    <col min="16" max="16" width="5.28515625" style="8" customWidth="1"/>
    <col min="17" max="17" width="7.42578125" style="8" customWidth="1"/>
    <col min="18" max="18" width="10.42578125" style="8" customWidth="1"/>
    <col min="19" max="19" width="15.5703125" style="8" hidden="1" customWidth="1"/>
    <col min="20" max="20" width="8.5703125" style="8" hidden="1" customWidth="1"/>
    <col min="21" max="16384" width="8.5703125" style="8"/>
  </cols>
  <sheetData>
    <row r="1" spans="1:21" ht="5.25" customHeight="1"/>
    <row r="2" spans="1:21" ht="14.65" customHeight="1">
      <c r="C2" s="32" t="s">
        <v>0</v>
      </c>
      <c r="D2" s="284" t="s">
        <v>1</v>
      </c>
      <c r="E2" s="284"/>
      <c r="F2" s="76"/>
      <c r="G2" s="24"/>
      <c r="H2" s="284" t="s">
        <v>3</v>
      </c>
      <c r="I2" s="284"/>
      <c r="J2" s="284"/>
      <c r="K2" s="284"/>
      <c r="L2" s="24" t="str">
        <f>IF($F2="","",IFERROR(VLOOKUP(F2,Aircraft[#All],2,FALSE),"Not listed"))</f>
        <v>VA</v>
      </c>
      <c r="N2" s="24" t="s">
        <v>4</v>
      </c>
      <c r="O2" s="115"/>
    </row>
    <row r="3" spans="1:21" ht="6" customHeight="1" thickBot="1">
      <c r="C3" s="32"/>
      <c r="D3" s="33"/>
      <c r="E3" s="33"/>
      <c r="F3" s="23"/>
      <c r="G3" s="285"/>
      <c r="H3" s="285"/>
      <c r="I3" s="285"/>
      <c r="J3" s="285"/>
      <c r="K3" s="285"/>
      <c r="L3" s="285"/>
      <c r="M3" s="285"/>
      <c r="N3" s="285"/>
      <c r="O3" s="285"/>
      <c r="P3" s="285"/>
      <c r="Q3" s="285"/>
      <c r="R3" s="23"/>
    </row>
    <row r="4" spans="1:21" ht="30" customHeight="1">
      <c r="B4" s="34" t="s">
        <v>5</v>
      </c>
      <c r="C4" s="111"/>
      <c r="D4" s="33"/>
      <c r="E4" s="35"/>
      <c r="F4" s="36"/>
      <c r="H4" s="4"/>
      <c r="I4" s="4"/>
      <c r="J4" s="4"/>
      <c r="K4" s="35"/>
      <c r="L4" s="35"/>
      <c r="M4" s="35"/>
      <c r="N4" s="35"/>
      <c r="O4" s="37"/>
      <c r="P4" s="38"/>
      <c r="Q4" s="38"/>
      <c r="R4" s="38"/>
    </row>
    <row r="5" spans="1:21" ht="30" customHeight="1">
      <c r="B5" s="34" t="s">
        <v>6</v>
      </c>
      <c r="C5" s="110"/>
      <c r="D5" s="33"/>
      <c r="E5" s="286" t="s">
        <v>7</v>
      </c>
      <c r="F5" s="287"/>
      <c r="G5" s="288"/>
      <c r="H5" s="289"/>
      <c r="I5" s="4"/>
      <c r="J5" s="4"/>
      <c r="K5" s="40"/>
      <c r="L5" s="40"/>
      <c r="M5" s="41"/>
      <c r="N5" s="41"/>
      <c r="O5" s="37"/>
      <c r="P5" s="290"/>
      <c r="Q5" s="290"/>
      <c r="R5" s="41"/>
    </row>
    <row r="6" spans="1:21" ht="7.5" customHeight="1" thickBot="1">
      <c r="C6" s="32"/>
      <c r="D6" s="33"/>
      <c r="E6" s="39"/>
      <c r="F6" s="39"/>
      <c r="G6" s="291"/>
      <c r="H6" s="291"/>
      <c r="I6" s="292"/>
      <c r="J6" s="292"/>
      <c r="K6" s="292"/>
      <c r="L6" s="292"/>
      <c r="M6" s="293"/>
      <c r="N6" s="293"/>
      <c r="O6" s="116"/>
      <c r="P6" s="293"/>
      <c r="Q6" s="293"/>
      <c r="R6" s="293"/>
    </row>
    <row r="7" spans="1:21" ht="12" customHeight="1">
      <c r="A7" s="269" t="s">
        <v>8</v>
      </c>
      <c r="B7" s="42"/>
      <c r="C7" s="43"/>
      <c r="D7" s="44"/>
      <c r="E7" s="241"/>
      <c r="F7" s="45"/>
      <c r="G7" s="272" t="s">
        <v>9</v>
      </c>
      <c r="H7" s="273"/>
      <c r="I7" s="274"/>
      <c r="J7" s="272" t="s">
        <v>10</v>
      </c>
      <c r="K7" s="275"/>
      <c r="L7" s="269" t="s">
        <v>11</v>
      </c>
      <c r="M7" s="276"/>
      <c r="N7" s="278" t="s">
        <v>12</v>
      </c>
      <c r="O7" s="248" t="s">
        <v>13</v>
      </c>
      <c r="P7" s="294" t="s">
        <v>15</v>
      </c>
      <c r="Q7" s="281" t="s">
        <v>16</v>
      </c>
    </row>
    <row r="8" spans="1:21" ht="13.5" customHeight="1" thickBot="1">
      <c r="A8" s="270"/>
      <c r="B8" s="46"/>
      <c r="C8" s="47"/>
      <c r="D8" s="48"/>
      <c r="E8" s="242"/>
      <c r="F8" s="49"/>
      <c r="G8" s="50" t="s">
        <v>17</v>
      </c>
      <c r="H8" s="51" t="s">
        <v>18</v>
      </c>
      <c r="I8" s="52" t="s">
        <v>19</v>
      </c>
      <c r="J8" s="50" t="s">
        <v>20</v>
      </c>
      <c r="K8" s="53" t="s">
        <v>21</v>
      </c>
      <c r="L8" s="270"/>
      <c r="M8" s="277"/>
      <c r="N8" s="279"/>
      <c r="O8" s="297" t="s">
        <v>22</v>
      </c>
      <c r="P8" s="295"/>
      <c r="Q8" s="282"/>
    </row>
    <row r="9" spans="1:21" ht="81.75" customHeight="1" thickBot="1">
      <c r="A9" s="271"/>
      <c r="B9" s="46" t="s">
        <v>23</v>
      </c>
      <c r="C9" s="46" t="s">
        <v>24</v>
      </c>
      <c r="D9" s="81" t="s">
        <v>25</v>
      </c>
      <c r="E9" s="75" t="s">
        <v>26</v>
      </c>
      <c r="F9" s="247" t="s">
        <v>27</v>
      </c>
      <c r="G9" s="246" t="s">
        <v>28</v>
      </c>
      <c r="H9" s="56" t="s">
        <v>29</v>
      </c>
      <c r="I9" s="57" t="s">
        <v>30</v>
      </c>
      <c r="J9" s="55" t="s">
        <v>31</v>
      </c>
      <c r="K9" s="58" t="s">
        <v>32</v>
      </c>
      <c r="L9" s="55" t="s">
        <v>33</v>
      </c>
      <c r="M9" s="57" t="s">
        <v>34</v>
      </c>
      <c r="N9" s="280"/>
      <c r="O9" s="298"/>
      <c r="P9" s="296"/>
      <c r="Q9" s="282"/>
      <c r="R9" s="8" t="s">
        <v>35</v>
      </c>
      <c r="S9" s="8" t="s">
        <v>36</v>
      </c>
      <c r="T9" s="8" t="s">
        <v>37</v>
      </c>
    </row>
    <row r="10" spans="1:21">
      <c r="A10" s="59">
        <v>1</v>
      </c>
      <c r="B10" s="156"/>
      <c r="C10" s="112"/>
      <c r="D10" s="27"/>
      <c r="E10" s="243"/>
      <c r="F10" s="82"/>
      <c r="G10" s="85">
        <f>IF($D10="","",IF($D10=G$8,$F10-$E10,""))</f>
        <v>3.4722222222222099E-3</v>
      </c>
      <c r="H10" s="61" t="str">
        <f>IF($D10="","",IF($D10=H$8,$F10-$E10,""))</f>
        <v/>
      </c>
      <c r="I10" s="63" t="str">
        <f t="shared" ref="H10:I25" si="0">IF($D10="","",IF($D10=I$8,$F10-$E10,""))</f>
        <v/>
      </c>
      <c r="J10" s="60" t="str">
        <f>IF($D10="","",IF($D10=CONCATENATE(J$7," ",J$8),$F10-$E10,""))</f>
        <v/>
      </c>
      <c r="K10" s="62" t="str">
        <f>IF($D10="","",IF($D10=CONCATENATE(J$7," ",K$8),$F10-$E10,""))</f>
        <v/>
      </c>
      <c r="L10" s="171" t="b">
        <v>0</v>
      </c>
      <c r="M10" s="176" t="b">
        <v>0</v>
      </c>
      <c r="N10" s="88" t="str">
        <f t="shared" ref="N10:N39" si="1">IF($D10="","",IF($D10="PAX",$F10-$E10,""))</f>
        <v/>
      </c>
      <c r="O10" s="249" t="str">
        <f>IF(COUNTA($B10:$F10)=0,"","1 - Winch Launch (Circuit)")</f>
        <v/>
      </c>
      <c r="P10" s="163" t="b">
        <v>0</v>
      </c>
      <c r="Q10" s="107"/>
      <c r="R10" s="105" t="str">
        <f>IF($G$5=A10,"Max Launches","")</f>
        <v/>
      </c>
      <c r="S10" s="8">
        <f>IF(O10="","",TRIM(LEFT(O10,1))*1)</f>
        <v>1</v>
      </c>
      <c r="T10" s="140">
        <f>SUM(G10,H10,I10,J10,K10,N10)</f>
        <v>3.4722222222222099E-3</v>
      </c>
      <c r="U10" s="104"/>
    </row>
    <row r="11" spans="1:21">
      <c r="A11" s="50">
        <v>2</v>
      </c>
      <c r="B11" s="30"/>
      <c r="C11" s="113"/>
      <c r="D11" s="28"/>
      <c r="E11" s="244"/>
      <c r="F11" s="83"/>
      <c r="G11" s="86">
        <f>IF($D11="","",IF($D11=G$8,$F11-$E11,""))</f>
        <v>3.4722222222222654E-3</v>
      </c>
      <c r="H11" s="65" t="str">
        <f>IF($D11="","",IF($D11=H$8,$F11-$E11,""))</f>
        <v/>
      </c>
      <c r="I11" s="67" t="str">
        <f t="shared" si="0"/>
        <v/>
      </c>
      <c r="J11" s="64" t="str">
        <f t="shared" ref="J11:J32" si="2">IF($D11="","",IF($D11=CONCATENATE(J$7," ",J$8),$F11-$E11,""))</f>
        <v/>
      </c>
      <c r="K11" s="66" t="str">
        <f t="shared" ref="K11:K32" si="3">IF($D11="","",IF($D11=CONCATENATE(J$7," ",K$8),$F11-$E11,""))</f>
        <v/>
      </c>
      <c r="L11" s="172" t="b">
        <v>0</v>
      </c>
      <c r="M11" s="177" t="b">
        <v>0</v>
      </c>
      <c r="N11" s="89" t="str">
        <f t="shared" si="1"/>
        <v/>
      </c>
      <c r="O11" s="250" t="str">
        <f>IF(COUNTA($B11:$F11)=0,"","1 - Winch Launch (Circuit)")</f>
        <v/>
      </c>
      <c r="P11" s="164" t="b">
        <v>0</v>
      </c>
      <c r="Q11" s="108"/>
      <c r="R11" s="106" t="str">
        <f t="shared" ref="R11:R39" si="4">IF($G$5=A11,"Max Launches","")</f>
        <v/>
      </c>
      <c r="S11" s="8">
        <f t="shared" ref="S11:S39" si="5">IF(O11="","",TRIM(LEFT(O11,1))*1)</f>
        <v>1</v>
      </c>
      <c r="T11" s="140">
        <f t="shared" ref="T11:T39" si="6">SUM(G11,H11,I11,J11,K11,N11)</f>
        <v>3.4722222222222654E-3</v>
      </c>
      <c r="U11" s="109"/>
    </row>
    <row r="12" spans="1:21">
      <c r="A12" s="50">
        <v>3</v>
      </c>
      <c r="B12" s="30"/>
      <c r="C12" s="113"/>
      <c r="D12" s="28"/>
      <c r="E12" s="244"/>
      <c r="F12" s="83"/>
      <c r="G12" s="86" t="str">
        <f t="shared" ref="G12:I32" si="7">IF($D12="","",IF($D12=G$8,$F12-$E12,""))</f>
        <v/>
      </c>
      <c r="H12" s="65" t="str">
        <f t="shared" si="0"/>
        <v/>
      </c>
      <c r="I12" s="67" t="str">
        <f t="shared" si="0"/>
        <v/>
      </c>
      <c r="J12" s="64">
        <f t="shared" si="2"/>
        <v>1.7361111111111105E-2</v>
      </c>
      <c r="K12" s="66" t="str">
        <f t="shared" si="3"/>
        <v/>
      </c>
      <c r="L12" s="172" t="b">
        <v>0</v>
      </c>
      <c r="M12" s="177" t="b">
        <v>0</v>
      </c>
      <c r="N12" s="89" t="str">
        <f t="shared" si="1"/>
        <v/>
      </c>
      <c r="O12" s="250" t="str">
        <f>IF(COUNTA($B12:$F12)=0,"","1 - Winch Launch (Circuit)")</f>
        <v/>
      </c>
      <c r="P12" s="164" t="b">
        <v>0</v>
      </c>
      <c r="Q12" s="108"/>
      <c r="R12" s="106" t="str">
        <f t="shared" si="4"/>
        <v/>
      </c>
      <c r="S12" s="8">
        <f t="shared" si="5"/>
        <v>6</v>
      </c>
      <c r="T12" s="140">
        <f t="shared" si="6"/>
        <v>1.7361111111111105E-2</v>
      </c>
    </row>
    <row r="13" spans="1:21">
      <c r="A13" s="50">
        <v>4</v>
      </c>
      <c r="B13" s="30"/>
      <c r="C13" s="113"/>
      <c r="D13" s="28"/>
      <c r="E13" s="244"/>
      <c r="F13" s="83"/>
      <c r="G13" s="86" t="str">
        <f t="shared" si="7"/>
        <v/>
      </c>
      <c r="H13" s="65" t="str">
        <f t="shared" si="0"/>
        <v/>
      </c>
      <c r="I13" s="67" t="str">
        <f t="shared" si="0"/>
        <v/>
      </c>
      <c r="J13" s="64">
        <f t="shared" si="2"/>
        <v>6.9444444444444198E-4</v>
      </c>
      <c r="K13" s="66" t="str">
        <f t="shared" si="3"/>
        <v/>
      </c>
      <c r="L13" s="172" t="b">
        <v>0</v>
      </c>
      <c r="M13" s="177" t="b">
        <v>0</v>
      </c>
      <c r="N13" s="89" t="str">
        <f t="shared" si="1"/>
        <v/>
      </c>
      <c r="O13" s="250" t="str">
        <f>IF(COUNTA($B13:$F13)=0,"","1 - Winch Launch (Circuit)")</f>
        <v/>
      </c>
      <c r="P13" s="164" t="b">
        <v>0</v>
      </c>
      <c r="Q13" s="108"/>
      <c r="R13" s="106" t="str">
        <f t="shared" si="4"/>
        <v/>
      </c>
      <c r="S13" s="8">
        <f t="shared" si="5"/>
        <v>1</v>
      </c>
      <c r="T13" s="140">
        <f t="shared" si="6"/>
        <v>6.9444444444444198E-4</v>
      </c>
    </row>
    <row r="14" spans="1:21" ht="15" thickBot="1">
      <c r="A14" s="68">
        <v>5</v>
      </c>
      <c r="B14" s="31"/>
      <c r="C14" s="114"/>
      <c r="D14" s="29"/>
      <c r="E14" s="245"/>
      <c r="F14" s="84"/>
      <c r="G14" s="157" t="str">
        <f t="shared" si="7"/>
        <v/>
      </c>
      <c r="H14" s="158" t="str">
        <f t="shared" si="0"/>
        <v/>
      </c>
      <c r="I14" s="159" t="str">
        <f t="shared" si="0"/>
        <v/>
      </c>
      <c r="J14" s="160" t="str">
        <f t="shared" si="2"/>
        <v/>
      </c>
      <c r="K14" s="161" t="str">
        <f t="shared" si="3"/>
        <v/>
      </c>
      <c r="L14" s="173" t="b">
        <v>0</v>
      </c>
      <c r="M14" s="178" t="b">
        <v>0</v>
      </c>
      <c r="N14" s="162">
        <f t="shared" si="1"/>
        <v>3.4722222222222099E-3</v>
      </c>
      <c r="O14" s="251" t="str">
        <f>IF(COUNTA($B14:$F14)=0,"","1 - Winch Launch (Circuit)")</f>
        <v/>
      </c>
      <c r="P14" s="165" t="b">
        <v>0</v>
      </c>
      <c r="Q14" s="108"/>
      <c r="R14" s="106" t="str">
        <f t="shared" si="4"/>
        <v/>
      </c>
      <c r="S14" s="8">
        <f t="shared" si="5"/>
        <v>1</v>
      </c>
      <c r="T14" s="140">
        <f t="shared" si="6"/>
        <v>3.4722222222222099E-3</v>
      </c>
    </row>
    <row r="15" spans="1:21">
      <c r="A15" s="237">
        <v>6</v>
      </c>
      <c r="B15" s="238"/>
      <c r="C15" s="239"/>
      <c r="D15" s="240"/>
      <c r="E15" s="243"/>
      <c r="F15" s="82"/>
      <c r="G15" s="85" t="str">
        <f t="shared" si="7"/>
        <v/>
      </c>
      <c r="H15" s="61" t="str">
        <f t="shared" si="0"/>
        <v/>
      </c>
      <c r="I15" s="63" t="str">
        <f t="shared" si="0"/>
        <v/>
      </c>
      <c r="J15" s="60" t="str">
        <f t="shared" si="2"/>
        <v/>
      </c>
      <c r="K15" s="62" t="str">
        <f t="shared" si="3"/>
        <v/>
      </c>
      <c r="L15" s="171" t="b">
        <v>0</v>
      </c>
      <c r="M15" s="176" t="b">
        <v>0</v>
      </c>
      <c r="N15" s="88" t="str">
        <f t="shared" si="1"/>
        <v/>
      </c>
      <c r="O15" s="249" t="str">
        <f>IF(COUNTA($B15:$F15)=0,"","1 - Winch Launch (Circuit)")</f>
        <v/>
      </c>
      <c r="P15" s="163" t="b">
        <v>0</v>
      </c>
      <c r="Q15" s="108"/>
      <c r="R15" s="106" t="str">
        <f t="shared" si="4"/>
        <v/>
      </c>
      <c r="S15" s="8" t="str">
        <f t="shared" si="5"/>
        <v/>
      </c>
      <c r="T15" s="140">
        <f t="shared" si="6"/>
        <v>0</v>
      </c>
    </row>
    <row r="16" spans="1:21">
      <c r="A16" s="50">
        <v>7</v>
      </c>
      <c r="B16" s="30"/>
      <c r="C16" s="113"/>
      <c r="D16" s="28"/>
      <c r="E16" s="244"/>
      <c r="F16" s="83"/>
      <c r="G16" s="86" t="str">
        <f t="shared" si="7"/>
        <v/>
      </c>
      <c r="H16" s="65" t="str">
        <f t="shared" si="0"/>
        <v/>
      </c>
      <c r="I16" s="67" t="str">
        <f t="shared" si="0"/>
        <v/>
      </c>
      <c r="J16" s="64" t="str">
        <f t="shared" si="2"/>
        <v/>
      </c>
      <c r="K16" s="66" t="str">
        <f t="shared" si="3"/>
        <v/>
      </c>
      <c r="L16" s="172" t="b">
        <v>0</v>
      </c>
      <c r="M16" s="177" t="b">
        <v>0</v>
      </c>
      <c r="N16" s="89" t="str">
        <f t="shared" si="1"/>
        <v/>
      </c>
      <c r="O16" s="250" t="str">
        <f>IF(COUNTA($B16:$F16)=0,"","1 - Winch Launch (Circuit)")</f>
        <v/>
      </c>
      <c r="P16" s="164" t="b">
        <v>0</v>
      </c>
      <c r="Q16" s="108"/>
      <c r="R16" s="106" t="str">
        <f t="shared" si="4"/>
        <v/>
      </c>
      <c r="S16" s="8" t="str">
        <f t="shared" si="5"/>
        <v/>
      </c>
      <c r="T16" s="140">
        <f t="shared" si="6"/>
        <v>0</v>
      </c>
    </row>
    <row r="17" spans="1:21">
      <c r="A17" s="50">
        <v>8</v>
      </c>
      <c r="B17" s="30"/>
      <c r="C17" s="113"/>
      <c r="D17" s="28"/>
      <c r="E17" s="244"/>
      <c r="F17" s="83"/>
      <c r="G17" s="86" t="str">
        <f t="shared" si="7"/>
        <v/>
      </c>
      <c r="H17" s="65" t="str">
        <f t="shared" si="0"/>
        <v/>
      </c>
      <c r="I17" s="67" t="str">
        <f t="shared" si="0"/>
        <v/>
      </c>
      <c r="J17" s="64" t="str">
        <f t="shared" si="2"/>
        <v/>
      </c>
      <c r="K17" s="66" t="str">
        <f t="shared" si="3"/>
        <v/>
      </c>
      <c r="L17" s="172" t="b">
        <v>0</v>
      </c>
      <c r="M17" s="177" t="b">
        <v>0</v>
      </c>
      <c r="N17" s="89" t="str">
        <f t="shared" si="1"/>
        <v/>
      </c>
      <c r="O17" s="250" t="str">
        <f>IF(COUNTA($B17:$F17)=0,"","1 - Winch Launch (Circuit)")</f>
        <v/>
      </c>
      <c r="P17" s="164" t="b">
        <v>0</v>
      </c>
      <c r="Q17" s="108"/>
      <c r="R17" s="106" t="str">
        <f t="shared" si="4"/>
        <v/>
      </c>
      <c r="S17" s="8" t="str">
        <f t="shared" si="5"/>
        <v/>
      </c>
      <c r="T17" s="140">
        <f t="shared" si="6"/>
        <v>0</v>
      </c>
    </row>
    <row r="18" spans="1:21">
      <c r="A18" s="50">
        <v>9</v>
      </c>
      <c r="B18" s="30"/>
      <c r="C18" s="113"/>
      <c r="D18" s="28"/>
      <c r="E18" s="244"/>
      <c r="F18" s="83"/>
      <c r="G18" s="86" t="str">
        <f t="shared" si="7"/>
        <v/>
      </c>
      <c r="H18" s="65" t="str">
        <f t="shared" si="0"/>
        <v/>
      </c>
      <c r="I18" s="67" t="str">
        <f t="shared" si="0"/>
        <v/>
      </c>
      <c r="J18" s="64" t="str">
        <f t="shared" si="2"/>
        <v/>
      </c>
      <c r="K18" s="66" t="str">
        <f t="shared" si="3"/>
        <v/>
      </c>
      <c r="L18" s="172" t="b">
        <v>0</v>
      </c>
      <c r="M18" s="177" t="b">
        <v>0</v>
      </c>
      <c r="N18" s="89" t="str">
        <f t="shared" si="1"/>
        <v/>
      </c>
      <c r="O18" s="250" t="str">
        <f>IF(COUNTA($B18:$F18)=0,"","1 - Winch Launch (Circuit)")</f>
        <v/>
      </c>
      <c r="P18" s="164" t="b">
        <v>0</v>
      </c>
      <c r="Q18" s="108"/>
      <c r="R18" s="106" t="str">
        <f t="shared" si="4"/>
        <v/>
      </c>
      <c r="S18" s="8" t="str">
        <f t="shared" si="5"/>
        <v/>
      </c>
      <c r="T18" s="140">
        <f t="shared" si="6"/>
        <v>0</v>
      </c>
    </row>
    <row r="19" spans="1:21" ht="15" thickBot="1">
      <c r="A19" s="68">
        <v>10</v>
      </c>
      <c r="B19" s="31"/>
      <c r="C19" s="114"/>
      <c r="D19" s="29"/>
      <c r="E19" s="245"/>
      <c r="F19" s="84"/>
      <c r="G19" s="87" t="str">
        <f t="shared" si="7"/>
        <v/>
      </c>
      <c r="H19" s="70" t="str">
        <f t="shared" si="0"/>
        <v/>
      </c>
      <c r="I19" s="72" t="str">
        <f t="shared" si="0"/>
        <v/>
      </c>
      <c r="J19" s="69" t="str">
        <f t="shared" si="2"/>
        <v/>
      </c>
      <c r="K19" s="71" t="str">
        <f t="shared" si="3"/>
        <v/>
      </c>
      <c r="L19" s="174" t="b">
        <v>0</v>
      </c>
      <c r="M19" s="175" t="b">
        <v>0</v>
      </c>
      <c r="N19" s="90" t="str">
        <f t="shared" si="1"/>
        <v/>
      </c>
      <c r="O19" s="252" t="str">
        <f>IF(COUNTA($B19:$F19)=0,"","1 - Winch Launch (Circuit)")</f>
        <v/>
      </c>
      <c r="P19" s="166" t="b">
        <v>0</v>
      </c>
      <c r="Q19" s="108"/>
      <c r="R19" s="106" t="str">
        <f t="shared" si="4"/>
        <v/>
      </c>
      <c r="S19" s="8" t="str">
        <f t="shared" si="5"/>
        <v/>
      </c>
      <c r="T19" s="140">
        <f t="shared" si="6"/>
        <v>0</v>
      </c>
    </row>
    <row r="20" spans="1:21">
      <c r="A20" s="59">
        <v>11</v>
      </c>
      <c r="B20" s="26"/>
      <c r="C20" s="112"/>
      <c r="D20" s="27"/>
      <c r="E20" s="243"/>
      <c r="F20" s="82"/>
      <c r="G20" s="85" t="str">
        <f t="shared" si="7"/>
        <v/>
      </c>
      <c r="H20" s="61" t="str">
        <f t="shared" si="0"/>
        <v/>
      </c>
      <c r="I20" s="63" t="str">
        <f t="shared" si="0"/>
        <v/>
      </c>
      <c r="J20" s="60" t="str">
        <f t="shared" si="2"/>
        <v/>
      </c>
      <c r="K20" s="62" t="str">
        <f t="shared" si="3"/>
        <v/>
      </c>
      <c r="L20" s="171" t="b">
        <v>0</v>
      </c>
      <c r="M20" s="176" t="b">
        <v>0</v>
      </c>
      <c r="N20" s="88" t="str">
        <f t="shared" si="1"/>
        <v/>
      </c>
      <c r="O20" s="253" t="str">
        <f>IF(COUNTA($B20:$F20)=0,"","1 - Winch Launch (Circuit)")</f>
        <v/>
      </c>
      <c r="P20" s="163" t="b">
        <v>0</v>
      </c>
      <c r="Q20" s="108"/>
      <c r="R20" s="106" t="str">
        <f t="shared" si="4"/>
        <v/>
      </c>
      <c r="S20" s="8" t="str">
        <f t="shared" si="5"/>
        <v/>
      </c>
      <c r="T20" s="140">
        <f t="shared" si="6"/>
        <v>0</v>
      </c>
    </row>
    <row r="21" spans="1:21">
      <c r="A21" s="50">
        <v>12</v>
      </c>
      <c r="B21" s="30"/>
      <c r="C21" s="113"/>
      <c r="D21" s="28"/>
      <c r="E21" s="244"/>
      <c r="F21" s="83"/>
      <c r="G21" s="86" t="str">
        <f t="shared" si="7"/>
        <v/>
      </c>
      <c r="H21" s="65" t="str">
        <f t="shared" si="0"/>
        <v/>
      </c>
      <c r="I21" s="67" t="str">
        <f t="shared" si="0"/>
        <v/>
      </c>
      <c r="J21" s="64" t="str">
        <f t="shared" si="2"/>
        <v/>
      </c>
      <c r="K21" s="66" t="str">
        <f t="shared" si="3"/>
        <v/>
      </c>
      <c r="L21" s="172" t="b">
        <v>0</v>
      </c>
      <c r="M21" s="177" t="b">
        <v>0</v>
      </c>
      <c r="N21" s="89" t="str">
        <f t="shared" si="1"/>
        <v/>
      </c>
      <c r="O21" s="254" t="str">
        <f>IF(COUNTA($B21:$F21)=0,"","1 - Winch Launch (Circuit)")</f>
        <v/>
      </c>
      <c r="P21" s="164" t="b">
        <v>0</v>
      </c>
      <c r="Q21" s="108"/>
      <c r="R21" s="106" t="str">
        <f t="shared" si="4"/>
        <v/>
      </c>
      <c r="S21" s="8" t="str">
        <f t="shared" si="5"/>
        <v/>
      </c>
      <c r="T21" s="140">
        <f t="shared" si="6"/>
        <v>0</v>
      </c>
    </row>
    <row r="22" spans="1:21">
      <c r="A22" s="50">
        <v>13</v>
      </c>
      <c r="B22" s="30"/>
      <c r="C22" s="113"/>
      <c r="D22" s="28"/>
      <c r="E22" s="244"/>
      <c r="F22" s="83"/>
      <c r="G22" s="86" t="str">
        <f t="shared" si="7"/>
        <v/>
      </c>
      <c r="H22" s="65" t="str">
        <f t="shared" si="0"/>
        <v/>
      </c>
      <c r="I22" s="67" t="str">
        <f t="shared" si="0"/>
        <v/>
      </c>
      <c r="J22" s="64" t="str">
        <f t="shared" si="2"/>
        <v/>
      </c>
      <c r="K22" s="66" t="str">
        <f t="shared" si="3"/>
        <v/>
      </c>
      <c r="L22" s="172" t="b">
        <v>0</v>
      </c>
      <c r="M22" s="177" t="b">
        <v>0</v>
      </c>
      <c r="N22" s="89" t="str">
        <f t="shared" si="1"/>
        <v/>
      </c>
      <c r="O22" s="254" t="str">
        <f>IF(COUNTA($B22:$F22)=0,"","1 - Winch Launch (Circuit)")</f>
        <v/>
      </c>
      <c r="P22" s="164" t="b">
        <v>0</v>
      </c>
      <c r="Q22" s="108"/>
      <c r="R22" s="106" t="str">
        <f t="shared" si="4"/>
        <v/>
      </c>
      <c r="S22" s="8" t="str">
        <f t="shared" si="5"/>
        <v/>
      </c>
      <c r="T22" s="140">
        <f t="shared" si="6"/>
        <v>0</v>
      </c>
    </row>
    <row r="23" spans="1:21">
      <c r="A23" s="50">
        <v>14</v>
      </c>
      <c r="B23" s="30"/>
      <c r="C23" s="113"/>
      <c r="D23" s="28"/>
      <c r="E23" s="244"/>
      <c r="F23" s="83"/>
      <c r="G23" s="86" t="str">
        <f t="shared" si="7"/>
        <v/>
      </c>
      <c r="H23" s="65" t="str">
        <f t="shared" si="0"/>
        <v/>
      </c>
      <c r="I23" s="67" t="str">
        <f t="shared" si="0"/>
        <v/>
      </c>
      <c r="J23" s="64" t="str">
        <f t="shared" si="2"/>
        <v/>
      </c>
      <c r="K23" s="66" t="str">
        <f t="shared" si="3"/>
        <v/>
      </c>
      <c r="L23" s="172" t="b">
        <v>0</v>
      </c>
      <c r="M23" s="177" t="b">
        <v>0</v>
      </c>
      <c r="N23" s="89" t="str">
        <f t="shared" si="1"/>
        <v/>
      </c>
      <c r="O23" s="254" t="str">
        <f>IF(COUNTA($B23:$F23)=0,"","1 - Winch Launch (Circuit)")</f>
        <v/>
      </c>
      <c r="P23" s="164" t="b">
        <v>0</v>
      </c>
      <c r="Q23" s="108"/>
      <c r="R23" s="106" t="str">
        <f t="shared" si="4"/>
        <v/>
      </c>
      <c r="S23" s="8" t="str">
        <f t="shared" si="5"/>
        <v/>
      </c>
      <c r="T23" s="140">
        <f t="shared" si="6"/>
        <v>0</v>
      </c>
    </row>
    <row r="24" spans="1:21" ht="15" thickBot="1">
      <c r="A24" s="68">
        <v>15</v>
      </c>
      <c r="B24" s="31"/>
      <c r="C24" s="114"/>
      <c r="D24" s="29"/>
      <c r="E24" s="245"/>
      <c r="F24" s="84"/>
      <c r="G24" s="87" t="str">
        <f t="shared" si="7"/>
        <v/>
      </c>
      <c r="H24" s="70" t="str">
        <f t="shared" si="0"/>
        <v/>
      </c>
      <c r="I24" s="72" t="str">
        <f t="shared" si="0"/>
        <v/>
      </c>
      <c r="J24" s="69" t="str">
        <f t="shared" si="2"/>
        <v/>
      </c>
      <c r="K24" s="71" t="str">
        <f t="shared" si="3"/>
        <v/>
      </c>
      <c r="L24" s="174" t="b">
        <v>0</v>
      </c>
      <c r="M24" s="175" t="b">
        <v>0</v>
      </c>
      <c r="N24" s="90" t="str">
        <f t="shared" si="1"/>
        <v/>
      </c>
      <c r="O24" s="252" t="str">
        <f>IF(COUNTA($B24:$F24)=0,"","1 - Winch Launch (Circuit)")</f>
        <v/>
      </c>
      <c r="P24" s="166" t="b">
        <v>0</v>
      </c>
      <c r="Q24" s="108"/>
      <c r="R24" s="106" t="str">
        <f t="shared" si="4"/>
        <v/>
      </c>
      <c r="S24" s="8" t="str">
        <f t="shared" si="5"/>
        <v/>
      </c>
      <c r="T24" s="140">
        <f t="shared" si="6"/>
        <v>0</v>
      </c>
    </row>
    <row r="25" spans="1:21">
      <c r="A25" s="59">
        <v>16</v>
      </c>
      <c r="B25" s="26"/>
      <c r="C25" s="112"/>
      <c r="D25" s="27"/>
      <c r="E25" s="243"/>
      <c r="F25" s="82"/>
      <c r="G25" s="85" t="str">
        <f t="shared" si="7"/>
        <v/>
      </c>
      <c r="H25" s="61" t="str">
        <f t="shared" si="0"/>
        <v/>
      </c>
      <c r="I25" s="63" t="str">
        <f t="shared" si="0"/>
        <v/>
      </c>
      <c r="J25" s="60" t="str">
        <f t="shared" si="2"/>
        <v/>
      </c>
      <c r="K25" s="62" t="str">
        <f t="shared" si="3"/>
        <v/>
      </c>
      <c r="L25" s="171" t="b">
        <v>0</v>
      </c>
      <c r="M25" s="176" t="b">
        <v>0</v>
      </c>
      <c r="N25" s="88" t="str">
        <f t="shared" si="1"/>
        <v/>
      </c>
      <c r="O25" s="253" t="str">
        <f>IF(COUNTA($B25:$F25)=0,"","1 - Winch Launch (Circuit)")</f>
        <v/>
      </c>
      <c r="P25" s="163" t="b">
        <v>0</v>
      </c>
      <c r="Q25" s="108"/>
      <c r="R25" s="106" t="str">
        <f t="shared" si="4"/>
        <v/>
      </c>
      <c r="S25" s="8" t="str">
        <f t="shared" si="5"/>
        <v/>
      </c>
      <c r="T25" s="140">
        <f t="shared" si="6"/>
        <v>0</v>
      </c>
    </row>
    <row r="26" spans="1:21">
      <c r="A26" s="50">
        <v>17</v>
      </c>
      <c r="B26" s="30"/>
      <c r="C26" s="113"/>
      <c r="D26" s="28"/>
      <c r="E26" s="244"/>
      <c r="F26" s="83"/>
      <c r="G26" s="86" t="str">
        <f t="shared" si="7"/>
        <v/>
      </c>
      <c r="H26" s="65" t="str">
        <f t="shared" si="7"/>
        <v/>
      </c>
      <c r="I26" s="67" t="str">
        <f t="shared" si="7"/>
        <v/>
      </c>
      <c r="J26" s="64" t="str">
        <f t="shared" si="2"/>
        <v/>
      </c>
      <c r="K26" s="66" t="str">
        <f t="shared" si="3"/>
        <v/>
      </c>
      <c r="L26" s="172" t="b">
        <v>0</v>
      </c>
      <c r="M26" s="177" t="b">
        <v>0</v>
      </c>
      <c r="N26" s="89" t="str">
        <f t="shared" si="1"/>
        <v/>
      </c>
      <c r="O26" s="254" t="str">
        <f>IF(COUNTA($B26:$F26)=0,"","1 - Winch Launch (Circuit)")</f>
        <v/>
      </c>
      <c r="P26" s="164" t="b">
        <v>0</v>
      </c>
      <c r="Q26" s="108"/>
      <c r="R26" s="106" t="str">
        <f t="shared" si="4"/>
        <v/>
      </c>
      <c r="S26" s="8" t="str">
        <f t="shared" si="5"/>
        <v/>
      </c>
      <c r="T26" s="140">
        <f t="shared" si="6"/>
        <v>0</v>
      </c>
    </row>
    <row r="27" spans="1:21">
      <c r="A27" s="50">
        <v>18</v>
      </c>
      <c r="B27" s="30"/>
      <c r="C27" s="113"/>
      <c r="D27" s="28"/>
      <c r="E27" s="244"/>
      <c r="F27" s="83"/>
      <c r="G27" s="86" t="str">
        <f t="shared" si="7"/>
        <v/>
      </c>
      <c r="H27" s="65" t="str">
        <f t="shared" si="7"/>
        <v/>
      </c>
      <c r="I27" s="67" t="str">
        <f t="shared" si="7"/>
        <v/>
      </c>
      <c r="J27" s="64" t="str">
        <f t="shared" si="2"/>
        <v/>
      </c>
      <c r="K27" s="66" t="str">
        <f t="shared" si="3"/>
        <v/>
      </c>
      <c r="L27" s="172" t="b">
        <v>0</v>
      </c>
      <c r="M27" s="177" t="b">
        <v>0</v>
      </c>
      <c r="N27" s="89" t="str">
        <f t="shared" si="1"/>
        <v/>
      </c>
      <c r="O27" s="254" t="str">
        <f>IF(COUNTA($B27:$F27)=0,"","1 - Winch Launch (Circuit)")</f>
        <v/>
      </c>
      <c r="P27" s="164" t="b">
        <v>0</v>
      </c>
      <c r="Q27" s="108"/>
      <c r="R27" s="106" t="str">
        <f t="shared" si="4"/>
        <v/>
      </c>
      <c r="S27" s="8" t="str">
        <f t="shared" si="5"/>
        <v/>
      </c>
      <c r="T27" s="140">
        <f t="shared" si="6"/>
        <v>0</v>
      </c>
    </row>
    <row r="28" spans="1:21">
      <c r="A28" s="50">
        <v>19</v>
      </c>
      <c r="B28" s="30"/>
      <c r="C28" s="113"/>
      <c r="D28" s="28"/>
      <c r="E28" s="244"/>
      <c r="F28" s="83"/>
      <c r="G28" s="86" t="str">
        <f t="shared" si="7"/>
        <v/>
      </c>
      <c r="H28" s="65" t="str">
        <f t="shared" si="7"/>
        <v/>
      </c>
      <c r="I28" s="67" t="str">
        <f t="shared" si="7"/>
        <v/>
      </c>
      <c r="J28" s="64" t="str">
        <f t="shared" si="2"/>
        <v/>
      </c>
      <c r="K28" s="66" t="str">
        <f t="shared" si="3"/>
        <v/>
      </c>
      <c r="L28" s="172" t="b">
        <v>0</v>
      </c>
      <c r="M28" s="177" t="b">
        <v>0</v>
      </c>
      <c r="N28" s="89" t="str">
        <f t="shared" si="1"/>
        <v/>
      </c>
      <c r="O28" s="254" t="str">
        <f>IF(COUNTA($B28:$F28)=0,"","1 - Winch Launch (Circuit)")</f>
        <v/>
      </c>
      <c r="P28" s="164" t="b">
        <v>0</v>
      </c>
      <c r="Q28" s="108"/>
      <c r="R28" s="106" t="str">
        <f t="shared" si="4"/>
        <v/>
      </c>
      <c r="S28" s="8" t="str">
        <f t="shared" si="5"/>
        <v/>
      </c>
      <c r="T28" s="140">
        <f t="shared" si="6"/>
        <v>0</v>
      </c>
    </row>
    <row r="29" spans="1:21" ht="15" thickBot="1">
      <c r="A29" s="68">
        <v>20</v>
      </c>
      <c r="B29" s="31"/>
      <c r="C29" s="114"/>
      <c r="D29" s="29"/>
      <c r="E29" s="245"/>
      <c r="F29" s="84"/>
      <c r="G29" s="87" t="str">
        <f t="shared" si="7"/>
        <v/>
      </c>
      <c r="H29" s="70" t="str">
        <f t="shared" si="7"/>
        <v/>
      </c>
      <c r="I29" s="72" t="str">
        <f t="shared" si="7"/>
        <v/>
      </c>
      <c r="J29" s="69" t="str">
        <f t="shared" si="2"/>
        <v/>
      </c>
      <c r="K29" s="71" t="str">
        <f t="shared" si="3"/>
        <v/>
      </c>
      <c r="L29" s="174" t="b">
        <v>0</v>
      </c>
      <c r="M29" s="175" t="b">
        <v>0</v>
      </c>
      <c r="N29" s="90" t="str">
        <f t="shared" si="1"/>
        <v/>
      </c>
      <c r="O29" s="252" t="str">
        <f>IF(COUNTA($B29:$F29)=0,"","1 - Winch Launch (Circuit)")</f>
        <v/>
      </c>
      <c r="P29" s="166" t="b">
        <v>0</v>
      </c>
      <c r="Q29" s="108"/>
      <c r="R29" s="106" t="str">
        <f t="shared" si="4"/>
        <v/>
      </c>
      <c r="S29" s="8" t="str">
        <f t="shared" si="5"/>
        <v/>
      </c>
      <c r="T29" s="140">
        <f t="shared" si="6"/>
        <v>0</v>
      </c>
    </row>
    <row r="30" spans="1:21">
      <c r="A30" s="59">
        <v>21</v>
      </c>
      <c r="B30" s="26"/>
      <c r="C30" s="112"/>
      <c r="D30" s="27"/>
      <c r="E30" s="243"/>
      <c r="F30" s="82"/>
      <c r="G30" s="85" t="str">
        <f t="shared" si="7"/>
        <v/>
      </c>
      <c r="H30" s="61" t="str">
        <f t="shared" si="7"/>
        <v/>
      </c>
      <c r="I30" s="63" t="str">
        <f t="shared" si="7"/>
        <v/>
      </c>
      <c r="J30" s="60" t="str">
        <f t="shared" si="2"/>
        <v/>
      </c>
      <c r="K30" s="62" t="str">
        <f t="shared" si="3"/>
        <v/>
      </c>
      <c r="L30" s="171" t="b">
        <v>0</v>
      </c>
      <c r="M30" s="176" t="b">
        <v>0</v>
      </c>
      <c r="N30" s="88" t="str">
        <f t="shared" si="1"/>
        <v/>
      </c>
      <c r="O30" s="253" t="str">
        <f>IF(COUNTA($B30:$F30)=0,"","1 - Winch Launch (Circuit)")</f>
        <v/>
      </c>
      <c r="P30" s="163" t="b">
        <v>0</v>
      </c>
      <c r="Q30" s="108"/>
      <c r="R30" s="106" t="str">
        <f t="shared" si="4"/>
        <v/>
      </c>
      <c r="S30" s="8" t="str">
        <f t="shared" si="5"/>
        <v/>
      </c>
      <c r="T30" s="140">
        <f t="shared" si="6"/>
        <v>0</v>
      </c>
    </row>
    <row r="31" spans="1:21">
      <c r="A31" s="50">
        <v>22</v>
      </c>
      <c r="B31" s="30"/>
      <c r="C31" s="113"/>
      <c r="D31" s="28"/>
      <c r="E31" s="244"/>
      <c r="F31" s="83"/>
      <c r="G31" s="86" t="str">
        <f t="shared" si="7"/>
        <v/>
      </c>
      <c r="H31" s="65" t="str">
        <f t="shared" si="7"/>
        <v/>
      </c>
      <c r="I31" s="67" t="str">
        <f t="shared" si="7"/>
        <v/>
      </c>
      <c r="J31" s="64" t="str">
        <f t="shared" si="2"/>
        <v/>
      </c>
      <c r="K31" s="66" t="str">
        <f t="shared" si="3"/>
        <v/>
      </c>
      <c r="L31" s="172" t="b">
        <v>0</v>
      </c>
      <c r="M31" s="177" t="b">
        <v>0</v>
      </c>
      <c r="N31" s="89" t="str">
        <f t="shared" si="1"/>
        <v/>
      </c>
      <c r="O31" s="254" t="str">
        <f>IF(COUNTA($B31:$F31)=0,"","1 - Winch Launch (Circuit)")</f>
        <v/>
      </c>
      <c r="P31" s="164" t="b">
        <v>0</v>
      </c>
      <c r="Q31" s="108"/>
      <c r="R31" s="106" t="str">
        <f t="shared" si="4"/>
        <v/>
      </c>
      <c r="S31" s="8" t="str">
        <f t="shared" si="5"/>
        <v/>
      </c>
      <c r="T31" s="140">
        <f t="shared" si="6"/>
        <v>0</v>
      </c>
    </row>
    <row r="32" spans="1:21">
      <c r="A32" s="50">
        <v>23</v>
      </c>
      <c r="B32" s="30"/>
      <c r="C32" s="113"/>
      <c r="D32" s="28"/>
      <c r="E32" s="244"/>
      <c r="F32" s="83"/>
      <c r="G32" s="86" t="str">
        <f t="shared" si="7"/>
        <v/>
      </c>
      <c r="H32" s="65" t="str">
        <f t="shared" si="7"/>
        <v/>
      </c>
      <c r="I32" s="67" t="str">
        <f t="shared" si="7"/>
        <v/>
      </c>
      <c r="J32" s="64" t="str">
        <f t="shared" si="2"/>
        <v/>
      </c>
      <c r="K32" s="66" t="str">
        <f t="shared" si="3"/>
        <v/>
      </c>
      <c r="L32" s="172" t="b">
        <v>0</v>
      </c>
      <c r="M32" s="177" t="b">
        <v>0</v>
      </c>
      <c r="N32" s="89" t="str">
        <f t="shared" si="1"/>
        <v/>
      </c>
      <c r="O32" s="254" t="str">
        <f>IF(COUNTA($B32:$F32)=0,"","1 - Winch Launch (Circuit)")</f>
        <v/>
      </c>
      <c r="P32" s="164" t="b">
        <v>0</v>
      </c>
      <c r="Q32" s="108"/>
      <c r="R32" s="106" t="str">
        <f t="shared" si="4"/>
        <v/>
      </c>
      <c r="S32" s="8" t="str">
        <f t="shared" si="5"/>
        <v/>
      </c>
      <c r="T32" s="140">
        <f t="shared" si="6"/>
        <v>0</v>
      </c>
    </row>
    <row r="33" spans="1:21">
      <c r="A33" s="50">
        <v>24</v>
      </c>
      <c r="B33" s="30"/>
      <c r="C33" s="113"/>
      <c r="D33" s="28"/>
      <c r="E33" s="244"/>
      <c r="F33" s="83"/>
      <c r="G33" s="86" t="str">
        <f>IF($D33="","",IF($D33=G$8,$F33-$E33,""))</f>
        <v/>
      </c>
      <c r="H33" s="65" t="str">
        <f>IF($D33="","",IF($D33=H$8,$F33-$E33,""))</f>
        <v/>
      </c>
      <c r="I33" s="67" t="str">
        <f>IF($D33="","",IF($D33=I$8,$F33-$E33,""))</f>
        <v/>
      </c>
      <c r="J33" s="64" t="str">
        <f>IF($D33="","",IF($D33=CONCATENATE(J$7," ",J$8),$F33-$E33,""))</f>
        <v/>
      </c>
      <c r="K33" s="66" t="str">
        <f>IF($D33="","",IF($D33=CONCATENATE(J$7," ",K$8),$F33-$E33,""))</f>
        <v/>
      </c>
      <c r="L33" s="172" t="b">
        <v>0</v>
      </c>
      <c r="M33" s="177" t="b">
        <v>0</v>
      </c>
      <c r="N33" s="89" t="str">
        <f t="shared" si="1"/>
        <v/>
      </c>
      <c r="O33" s="254" t="str">
        <f>IF(COUNTA($B33:$F33)=0,"","1 - Winch Launch (Circuit)")</f>
        <v/>
      </c>
      <c r="P33" s="164" t="b">
        <v>0</v>
      </c>
      <c r="Q33" s="108"/>
      <c r="R33" s="106" t="str">
        <f t="shared" si="4"/>
        <v/>
      </c>
      <c r="S33" s="8" t="str">
        <f t="shared" si="5"/>
        <v/>
      </c>
      <c r="T33" s="140">
        <f t="shared" si="6"/>
        <v>0</v>
      </c>
    </row>
    <row r="34" spans="1:21" ht="15" thickBot="1">
      <c r="A34" s="68">
        <v>25</v>
      </c>
      <c r="B34" s="31"/>
      <c r="C34" s="114"/>
      <c r="D34" s="29"/>
      <c r="E34" s="245"/>
      <c r="F34" s="84"/>
      <c r="G34" s="87" t="str">
        <f t="shared" ref="G34:I39" si="8">IF($D34="","",IF($D34=G$8,$F34-$E34,""))</f>
        <v/>
      </c>
      <c r="H34" s="70" t="str">
        <f t="shared" si="8"/>
        <v/>
      </c>
      <c r="I34" s="72" t="str">
        <f t="shared" si="8"/>
        <v/>
      </c>
      <c r="J34" s="69" t="str">
        <f t="shared" ref="J34:J39" si="9">IF($D34="","",IF($D34=CONCATENATE(J$7," ",J$8),$F34-$E34,""))</f>
        <v/>
      </c>
      <c r="K34" s="71" t="str">
        <f t="shared" ref="K34:K39" si="10">IF($D34="","",IF($D34=CONCATENATE(J$7," ",K$8),$F34-$E34,""))</f>
        <v/>
      </c>
      <c r="L34" s="174" t="b">
        <v>0</v>
      </c>
      <c r="M34" s="175" t="b">
        <v>0</v>
      </c>
      <c r="N34" s="90" t="str">
        <f>IF($D34="","",IF($D34="PAX",$F34-$E34,""))</f>
        <v/>
      </c>
      <c r="O34" s="252" t="str">
        <f>IF(COUNTA($B34:$F34)=0,"","1 - Winch Launch (Circuit)")</f>
        <v/>
      </c>
      <c r="P34" s="166" t="b">
        <v>0</v>
      </c>
      <c r="Q34" s="108"/>
      <c r="R34" s="106" t="str">
        <f t="shared" si="4"/>
        <v/>
      </c>
      <c r="S34" s="8" t="str">
        <f t="shared" si="5"/>
        <v/>
      </c>
      <c r="T34" s="140">
        <f t="shared" si="6"/>
        <v>0</v>
      </c>
    </row>
    <row r="35" spans="1:21">
      <c r="A35" s="59">
        <v>26</v>
      </c>
      <c r="B35" s="26"/>
      <c r="C35" s="112"/>
      <c r="D35" s="27"/>
      <c r="E35" s="243"/>
      <c r="F35" s="82"/>
      <c r="G35" s="85" t="str">
        <f t="shared" si="8"/>
        <v/>
      </c>
      <c r="H35" s="61" t="str">
        <f t="shared" si="8"/>
        <v/>
      </c>
      <c r="I35" s="63" t="str">
        <f t="shared" si="8"/>
        <v/>
      </c>
      <c r="J35" s="60" t="str">
        <f t="shared" si="9"/>
        <v/>
      </c>
      <c r="K35" s="62" t="str">
        <f t="shared" si="10"/>
        <v/>
      </c>
      <c r="L35" s="171" t="b">
        <v>0</v>
      </c>
      <c r="M35" s="176" t="b">
        <v>0</v>
      </c>
      <c r="N35" s="88" t="str">
        <f t="shared" si="1"/>
        <v/>
      </c>
      <c r="O35" s="253" t="str">
        <f>IF(COUNTA($B35:$F35)=0,"","1 - Winch Launch (Circuit)")</f>
        <v/>
      </c>
      <c r="P35" s="163" t="b">
        <v>0</v>
      </c>
      <c r="Q35" s="108"/>
      <c r="R35" s="106" t="str">
        <f t="shared" si="4"/>
        <v/>
      </c>
      <c r="S35" s="8" t="str">
        <f t="shared" si="5"/>
        <v/>
      </c>
      <c r="T35" s="140">
        <f t="shared" si="6"/>
        <v>0</v>
      </c>
    </row>
    <row r="36" spans="1:21">
      <c r="A36" s="50">
        <v>27</v>
      </c>
      <c r="B36" s="30"/>
      <c r="C36" s="113"/>
      <c r="D36" s="28"/>
      <c r="E36" s="244"/>
      <c r="F36" s="83"/>
      <c r="G36" s="86" t="str">
        <f t="shared" si="8"/>
        <v/>
      </c>
      <c r="H36" s="65" t="str">
        <f t="shared" si="8"/>
        <v/>
      </c>
      <c r="I36" s="67" t="str">
        <f t="shared" si="8"/>
        <v/>
      </c>
      <c r="J36" s="64" t="str">
        <f t="shared" si="9"/>
        <v/>
      </c>
      <c r="K36" s="66" t="str">
        <f t="shared" si="10"/>
        <v/>
      </c>
      <c r="L36" s="172" t="b">
        <v>0</v>
      </c>
      <c r="M36" s="177" t="b">
        <v>0</v>
      </c>
      <c r="N36" s="89" t="str">
        <f t="shared" si="1"/>
        <v/>
      </c>
      <c r="O36" s="254" t="str">
        <f>IF(COUNTA($B36:$F36)=0,"","1 - Winch Launch (Circuit)")</f>
        <v/>
      </c>
      <c r="P36" s="164" t="b">
        <v>0</v>
      </c>
      <c r="Q36" s="108"/>
      <c r="R36" s="106" t="str">
        <f t="shared" si="4"/>
        <v/>
      </c>
      <c r="S36" s="8" t="str">
        <f t="shared" si="5"/>
        <v/>
      </c>
      <c r="T36" s="140">
        <f t="shared" si="6"/>
        <v>0</v>
      </c>
    </row>
    <row r="37" spans="1:21">
      <c r="A37" s="50">
        <v>28</v>
      </c>
      <c r="B37" s="30"/>
      <c r="C37" s="113"/>
      <c r="D37" s="28"/>
      <c r="E37" s="244"/>
      <c r="F37" s="83"/>
      <c r="G37" s="86" t="str">
        <f t="shared" si="8"/>
        <v/>
      </c>
      <c r="H37" s="65" t="str">
        <f t="shared" si="8"/>
        <v/>
      </c>
      <c r="I37" s="67" t="str">
        <f t="shared" si="8"/>
        <v/>
      </c>
      <c r="J37" s="64" t="str">
        <f t="shared" si="9"/>
        <v/>
      </c>
      <c r="K37" s="66" t="str">
        <f t="shared" si="10"/>
        <v/>
      </c>
      <c r="L37" s="172" t="b">
        <v>0</v>
      </c>
      <c r="M37" s="177" t="b">
        <v>0</v>
      </c>
      <c r="N37" s="89" t="str">
        <f t="shared" si="1"/>
        <v/>
      </c>
      <c r="O37" s="254" t="str">
        <f>IF(COUNTA($B37:$F37)=0,"","1 - Winch Launch (Circuit)")</f>
        <v/>
      </c>
      <c r="P37" s="164" t="b">
        <v>0</v>
      </c>
      <c r="Q37" s="108"/>
      <c r="R37" s="106" t="str">
        <f t="shared" si="4"/>
        <v/>
      </c>
      <c r="S37" s="8" t="str">
        <f t="shared" si="5"/>
        <v/>
      </c>
      <c r="T37" s="140">
        <f t="shared" si="6"/>
        <v>0</v>
      </c>
    </row>
    <row r="38" spans="1:21">
      <c r="A38" s="50">
        <v>29</v>
      </c>
      <c r="B38" s="30"/>
      <c r="C38" s="113"/>
      <c r="D38" s="28"/>
      <c r="E38" s="244"/>
      <c r="F38" s="83"/>
      <c r="G38" s="86" t="str">
        <f t="shared" si="8"/>
        <v/>
      </c>
      <c r="H38" s="65" t="str">
        <f t="shared" si="8"/>
        <v/>
      </c>
      <c r="I38" s="67" t="str">
        <f t="shared" si="8"/>
        <v/>
      </c>
      <c r="J38" s="64" t="str">
        <f t="shared" si="9"/>
        <v/>
      </c>
      <c r="K38" s="66" t="str">
        <f t="shared" si="10"/>
        <v/>
      </c>
      <c r="L38" s="172" t="b">
        <v>0</v>
      </c>
      <c r="M38" s="177" t="b">
        <v>0</v>
      </c>
      <c r="N38" s="89" t="str">
        <f t="shared" si="1"/>
        <v/>
      </c>
      <c r="O38" s="254" t="str">
        <f>IF(COUNTA($B38:$F38)=0,"","1 - Winch Launch (Circuit)")</f>
        <v/>
      </c>
      <c r="P38" s="164" t="b">
        <v>0</v>
      </c>
      <c r="Q38" s="108"/>
      <c r="R38" s="106" t="str">
        <f t="shared" si="4"/>
        <v>Max Launches</v>
      </c>
      <c r="S38" s="8" t="str">
        <f t="shared" si="5"/>
        <v/>
      </c>
      <c r="T38" s="140">
        <f t="shared" si="6"/>
        <v>0</v>
      </c>
    </row>
    <row r="39" spans="1:21" ht="15" thickBot="1">
      <c r="A39" s="68">
        <v>30</v>
      </c>
      <c r="B39" s="31"/>
      <c r="C39" s="114"/>
      <c r="D39" s="29"/>
      <c r="E39" s="245"/>
      <c r="F39" s="84"/>
      <c r="G39" s="87" t="str">
        <f t="shared" si="8"/>
        <v/>
      </c>
      <c r="H39" s="70" t="str">
        <f t="shared" si="8"/>
        <v/>
      </c>
      <c r="I39" s="72" t="str">
        <f t="shared" si="8"/>
        <v/>
      </c>
      <c r="J39" s="69" t="str">
        <f t="shared" si="9"/>
        <v/>
      </c>
      <c r="K39" s="71" t="str">
        <f t="shared" si="10"/>
        <v/>
      </c>
      <c r="L39" s="174" t="b">
        <v>0</v>
      </c>
      <c r="M39" s="175" t="b">
        <v>0</v>
      </c>
      <c r="N39" s="90" t="str">
        <f t="shared" si="1"/>
        <v/>
      </c>
      <c r="O39" s="252" t="str">
        <f>IF(COUNTA($B39:$F39)=0,"","1 - Winch Launch (Circuit)")</f>
        <v/>
      </c>
      <c r="P39" s="166" t="b">
        <v>0</v>
      </c>
      <c r="Q39" s="108"/>
      <c r="R39" s="106" t="str">
        <f t="shared" si="4"/>
        <v/>
      </c>
      <c r="S39" s="8" t="str">
        <f t="shared" si="5"/>
        <v/>
      </c>
      <c r="T39" s="140">
        <f t="shared" si="6"/>
        <v>0</v>
      </c>
    </row>
    <row r="40" spans="1:21" ht="28.15" customHeight="1" thickBot="1">
      <c r="E40" s="267" t="s">
        <v>52</v>
      </c>
      <c r="F40" s="268"/>
      <c r="G40" s="99">
        <f>IF(SUM(G10:G39)=0,"",SUM(G10:G39))</f>
        <v>6.9444444444444753E-3</v>
      </c>
      <c r="H40" s="100" t="str">
        <f>IF(SUM(H10:H39)=0,"",SUM(H10:H39))</f>
        <v/>
      </c>
      <c r="I40" s="101" t="str">
        <f>IF(SUM(I10:I39)=0,"",SUM(I10:I39))</f>
        <v/>
      </c>
      <c r="J40" s="99">
        <f>IF(SUM(J10:J39)=0,"",SUM(J10:J39))</f>
        <v>1.8055555555555547E-2</v>
      </c>
      <c r="K40" s="102" t="str">
        <f>IF(SUM(K10:K39)=0,"",SUM(K10:K39))</f>
        <v/>
      </c>
      <c r="L40" s="73"/>
      <c r="M40" s="73"/>
      <c r="N40" s="97">
        <f>IF(SUM(N10:N39)=0,"",SUM(N10:N39))</f>
        <v>3.4722222222222099E-3</v>
      </c>
      <c r="O40" s="73"/>
      <c r="R40" s="96"/>
    </row>
    <row r="41" spans="1:21" ht="28.15" customHeight="1" thickBot="1">
      <c r="E41" s="267" t="s">
        <v>53</v>
      </c>
      <c r="F41" s="268"/>
      <c r="G41" s="78">
        <f>IF(COUNT(G10:G39)=0,"",COUNT(G10:G39))</f>
        <v>2</v>
      </c>
      <c r="H41" s="79" t="str">
        <f>IF(COUNT(H10:H39)=0,"",COUNT(H10:H39))</f>
        <v/>
      </c>
      <c r="I41" s="98" t="str">
        <f>IF(COUNT(I10:I39)=0,"",COUNT(I10:I39))</f>
        <v/>
      </c>
      <c r="J41" s="78">
        <f>IF(COUNT(J10:J39)=0,"",COUNT(J10:J39))</f>
        <v>2</v>
      </c>
      <c r="K41" s="54" t="str">
        <f>IF(COUNT(K10:K39)=0,"",COUNT(K10:K39))</f>
        <v/>
      </c>
      <c r="L41" s="23"/>
      <c r="M41" s="23"/>
      <c r="N41" s="80">
        <f>IF(COUNT(N10:N39)=0,"",COUNT(N10:N39))</f>
        <v>1</v>
      </c>
      <c r="O41" s="23"/>
    </row>
    <row r="42" spans="1:21" ht="28.15" customHeight="1">
      <c r="E42" s="74"/>
      <c r="F42" s="74"/>
      <c r="G42" s="23"/>
      <c r="H42" s="23"/>
      <c r="I42" s="23"/>
      <c r="J42" s="23"/>
      <c r="K42" s="23"/>
      <c r="L42" s="23"/>
      <c r="M42" s="23"/>
      <c r="N42" s="23"/>
      <c r="O42" s="23"/>
    </row>
    <row r="43" spans="1:21" ht="27" hidden="1" customHeight="1">
      <c r="E43" s="74"/>
      <c r="F43" s="74"/>
      <c r="G43" s="23">
        <v>1</v>
      </c>
      <c r="H43" s="23">
        <v>2</v>
      </c>
      <c r="I43" s="23">
        <v>3</v>
      </c>
      <c r="J43" s="23">
        <v>4</v>
      </c>
      <c r="K43" s="23">
        <v>5</v>
      </c>
      <c r="L43" s="23">
        <v>6</v>
      </c>
      <c r="M43" s="23">
        <v>7</v>
      </c>
      <c r="N43" s="23">
        <v>8</v>
      </c>
      <c r="O43" s="23"/>
    </row>
    <row r="44" spans="1:21" ht="27" hidden="1" customHeight="1">
      <c r="E44" s="74"/>
      <c r="F44" s="74" t="s">
        <v>54</v>
      </c>
      <c r="G44" s="141">
        <f>SUMIF($S$10:$S$39,1,$T$10:$T$39)</f>
        <v>1.1111111111111127E-2</v>
      </c>
      <c r="H44" s="141">
        <f>SUMIF($S$10:$S$39,2,$T$10:$T$39)</f>
        <v>0</v>
      </c>
      <c r="I44" s="141">
        <f>SUMIF($S$10:$S$39,3,$T$10:$T$39)</f>
        <v>0</v>
      </c>
      <c r="J44" s="141">
        <f>SUMIF($S$10:$S$39,4,$T$10:$T$39)</f>
        <v>0</v>
      </c>
      <c r="K44" s="141">
        <f>SUMIF($S$10:$S$39,5,$T$10:$T$39)</f>
        <v>0</v>
      </c>
      <c r="L44" s="141">
        <f>SUMIF($S$10:$S$39,6,$T$10:$T$39)</f>
        <v>1.7361111111111105E-2</v>
      </c>
      <c r="M44" s="141">
        <f>SUMIF($S$10:$S$39,7,$T$10:$T$39)</f>
        <v>0</v>
      </c>
      <c r="N44" s="141">
        <f>SUMIF($S$10:$S$39,8,$T$10:$T$39)</f>
        <v>0</v>
      </c>
      <c r="O44" s="23"/>
    </row>
    <row r="45" spans="1:21" ht="27" hidden="1" customHeight="1">
      <c r="E45" s="74"/>
      <c r="F45" s="74" t="s">
        <v>55</v>
      </c>
      <c r="G45" s="23">
        <f>COUNTIF($S$10:$S$39,1)</f>
        <v>4</v>
      </c>
      <c r="H45" s="23">
        <f>COUNTIF($S$10:$S$39,2)</f>
        <v>0</v>
      </c>
      <c r="I45" s="23">
        <f>COUNTIF($S$10:$S$39,3)</f>
        <v>0</v>
      </c>
      <c r="J45" s="23">
        <f>COUNTIF($S$10:$S$39,4)</f>
        <v>0</v>
      </c>
      <c r="K45" s="23">
        <f>COUNTIF($S$10:$S$39,5)</f>
        <v>0</v>
      </c>
      <c r="L45" s="23">
        <f>COUNTIF($S$10:$S$39,6)</f>
        <v>1</v>
      </c>
      <c r="M45" s="23">
        <f>COUNTIF($S$10:$S$39,7)</f>
        <v>0</v>
      </c>
      <c r="N45" s="23">
        <f>COUNTIF($S$10:$S$39,8)</f>
        <v>0</v>
      </c>
      <c r="O45" s="23"/>
    </row>
  </sheetData>
  <sheetProtection algorithmName="SHA-512" hashValue="CgoWF9KbfYycq3LcxFBscRgRLhPrcjAFYMVuHneanw2pdLlwu+/LCrCqFwMsqzgPIauL6Fv8sdS8l1Yoi/n+Qw==" saltValue="5IAtqbj9YXpjkhRagv/UFA==" spinCount="100000" sheet="1" selectLockedCells="1"/>
  <mergeCells count="21">
    <mergeCell ref="D2:E2"/>
    <mergeCell ref="H2:K2"/>
    <mergeCell ref="G3:Q3"/>
    <mergeCell ref="E5:F5"/>
    <mergeCell ref="G5:H5"/>
    <mergeCell ref="P5:Q5"/>
    <mergeCell ref="G6:H6"/>
    <mergeCell ref="I6:J6"/>
    <mergeCell ref="K6:L6"/>
    <mergeCell ref="M6:N6"/>
    <mergeCell ref="P6:R6"/>
    <mergeCell ref="P7:P9"/>
    <mergeCell ref="Q7:Q9"/>
    <mergeCell ref="O8:O9"/>
    <mergeCell ref="A7:A9"/>
    <mergeCell ref="G7:I7"/>
    <mergeCell ref="J7:K7"/>
    <mergeCell ref="L7:M8"/>
    <mergeCell ref="N7:N9"/>
    <mergeCell ref="E40:F40"/>
    <mergeCell ref="E41:F41"/>
  </mergeCells>
  <conditionalFormatting sqref="B11:D39 G11:O39">
    <cfRule type="expression" dxfId="32" priority="2">
      <formula>$G$5=$A10</formula>
    </cfRule>
  </conditionalFormatting>
  <dataValidations count="7">
    <dataValidation type="list" allowBlank="1" showInputMessage="1" showErrorMessage="1" sqref="F2">
      <formula1>AircraftList</formula1>
    </dataValidation>
    <dataValidation type="list" errorStyle="warning" allowBlank="1" showInputMessage="1" showErrorMessage="1" errorTitle="Unknown pilot" error="Pilot not in the list. Add them to the Pilots table on the INPUT_DATA sheet." sqref="B10:B39">
      <formula1>PilotList</formula1>
    </dataValidation>
    <dataValidation type="list" allowBlank="1" showInputMessage="1" sqref="C10:C39">
      <formula1>PilotList</formula1>
    </dataValidation>
    <dataValidation type="list" allowBlank="1" showInputMessage="1" showErrorMessage="1" sqref="D10:D39">
      <formula1>DutyList</formula1>
    </dataValidation>
    <dataValidation type="list" allowBlank="1" showInputMessage="1" showErrorMessage="1" sqref="O10:O39">
      <formula1>SPCList</formula1>
    </dataValidation>
    <dataValidation type="custom" errorStyle="stop" allowBlank="1" showInputMessage="1" showErrorMessage="1" errorTitle="Check the landing time" error="The landing time must be at least one minute after the take-off time on this line." sqref="F10:F39">
      <formula1>OR($E10="",$F10&gt;=$E10+1/1440)</formula1>
    </dataValidation>
    <dataValidation type="custom" errorStyle="warning" allowBlank="1" showInputMessage="1" showErrorMessage="1" errorTitle="Check the take-off time" error="This take-off is earlier than the landing time on the line above." sqref="E11:E39">
      <formula1>OR($F10="",$E11&gt;=$F10)</formula1>
    </dataValidation>
  </dataValidations>
  <pageMargins left="0.25" right="0.25" top="0.75" bottom="0.52777777777777779" header="0.3" footer="0.3"/>
  <pageSetup paperSize="9" scale="87" fitToHeight="0" orientation="landscape" r:id="rId1"/>
  <headerFooter>
    <oddHeader>&amp;L&amp;"Arial,Bold"&amp;16CONVENTIONAL GLIDER DAILY LOG SHEET (NON-AEROTOW)&amp;R&amp;"-,Bold"RAF Form 2965B&amp;"-,Regular"
(Revised 8/26)
PPQ = 100</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3B453-12C5-4805-AB6E-985CF1012229}">
  <sheetPr>
    <pageSetUpPr fitToPage="1"/>
  </sheetPr>
  <dimension ref="B1:AB72"/>
  <sheetViews>
    <sheetView showWhiteSpace="0" view="pageLayout" zoomScale="85" zoomScaleNormal="85" zoomScaleSheetLayoutView="90" zoomScalePageLayoutView="85" workbookViewId="0">
      <selection activeCell="F2" sqref="F2"/>
    </sheetView>
  </sheetViews>
  <sheetFormatPr defaultColWidth="0" defaultRowHeight="15"/>
  <cols>
    <col min="1" max="1" width="3.140625" customWidth="1"/>
    <col min="2" max="2" width="6.42578125" customWidth="1"/>
    <col min="3" max="3" width="21.7109375" customWidth="1"/>
    <col min="4" max="4" width="12.85546875" customWidth="1"/>
    <col min="5" max="5" width="8.7109375" customWidth="1"/>
    <col min="6" max="6" width="12.140625" customWidth="1"/>
    <col min="7" max="8" width="9.5703125" customWidth="1"/>
    <col min="9" max="27" width="5.140625" customWidth="1"/>
    <col min="28" max="98" width="4" customWidth="1"/>
    <col min="99" max="288" width="2.28515625" customWidth="1"/>
  </cols>
  <sheetData>
    <row r="1" spans="2:28" ht="65.25" customHeight="1">
      <c r="V1" s="179"/>
    </row>
    <row r="2" spans="2:28" ht="33.75" customHeight="1">
      <c r="B2" s="328" t="s">
        <v>56</v>
      </c>
      <c r="C2" s="328"/>
      <c r="D2" s="328"/>
      <c r="E2" s="139" t="s">
        <v>57</v>
      </c>
      <c r="F2" s="25" t="s">
        <v>0</v>
      </c>
      <c r="G2" s="137"/>
      <c r="H2" s="138" t="s">
        <v>58</v>
      </c>
      <c r="I2" s="327">
        <f>'2965B'!O2</f>
        <v>46275</v>
      </c>
      <c r="J2" s="327"/>
      <c r="K2" s="327"/>
      <c r="L2" s="338" t="s">
        <v>59</v>
      </c>
      <c r="M2" s="338"/>
      <c r="N2" s="338"/>
      <c r="O2" s="341" t="str">
        <f>'2965B'!F2</f>
        <v>ZE495</v>
      </c>
      <c r="P2" s="341"/>
      <c r="Q2" s="122"/>
      <c r="R2" s="338" t="s">
        <v>60</v>
      </c>
      <c r="S2" s="338"/>
      <c r="T2" s="338"/>
      <c r="U2" s="338"/>
      <c r="V2" s="25" t="str">
        <f>'2965B'!L2</f>
        <v>VA</v>
      </c>
      <c r="W2" s="122"/>
      <c r="X2" s="339" t="s">
        <v>61</v>
      </c>
      <c r="Y2" s="340"/>
      <c r="Z2" s="340"/>
      <c r="AA2" s="340"/>
    </row>
    <row r="3" spans="2:28" ht="9" customHeight="1" thickBot="1">
      <c r="B3" s="136"/>
      <c r="C3" s="136"/>
      <c r="D3" s="136"/>
      <c r="E3" s="136"/>
      <c r="F3" s="136"/>
      <c r="G3" s="136"/>
      <c r="H3" s="136"/>
      <c r="I3" s="136"/>
      <c r="J3" s="136"/>
      <c r="K3" s="136"/>
      <c r="L3" s="136"/>
      <c r="M3" s="136"/>
      <c r="N3" s="136"/>
      <c r="O3" s="136"/>
      <c r="P3" s="136"/>
      <c r="Q3" s="136"/>
      <c r="R3" s="136"/>
      <c r="S3" s="136"/>
      <c r="T3" s="136"/>
      <c r="U3" s="136"/>
      <c r="V3" s="136"/>
      <c r="W3" s="136"/>
      <c r="X3" s="136"/>
      <c r="Y3" s="136"/>
      <c r="Z3" s="136"/>
      <c r="AA3" s="136"/>
    </row>
    <row r="4" spans="2:28" ht="18" customHeight="1">
      <c r="B4" s="331" t="s">
        <v>62</v>
      </c>
      <c r="C4" s="332"/>
      <c r="D4" s="332"/>
      <c r="E4" s="332"/>
      <c r="F4" s="332"/>
      <c r="G4" s="332"/>
      <c r="H4" s="332"/>
      <c r="I4" s="333"/>
      <c r="J4" s="333"/>
      <c r="K4" s="333"/>
      <c r="L4" s="333"/>
      <c r="M4" s="333"/>
      <c r="N4" s="333"/>
      <c r="O4" s="333"/>
      <c r="P4" s="333"/>
      <c r="Q4" s="333"/>
      <c r="R4" s="333"/>
      <c r="S4" s="333"/>
      <c r="T4" s="333"/>
      <c r="U4" s="333"/>
      <c r="V4" s="333"/>
      <c r="W4" s="333"/>
      <c r="X4" s="333"/>
      <c r="Y4" s="332"/>
      <c r="Z4" s="332"/>
      <c r="AA4" s="334"/>
    </row>
    <row r="5" spans="2:28" ht="13.5" customHeight="1">
      <c r="B5" s="335" t="s">
        <v>63</v>
      </c>
      <c r="C5" s="337" t="s">
        <v>64</v>
      </c>
      <c r="D5" s="337"/>
      <c r="E5" s="337"/>
      <c r="F5" s="342" t="s">
        <v>65</v>
      </c>
      <c r="G5" s="344" t="s">
        <v>66</v>
      </c>
      <c r="H5" s="346" t="s">
        <v>67</v>
      </c>
      <c r="I5" s="322" t="s">
        <v>68</v>
      </c>
      <c r="J5" s="323"/>
      <c r="K5" s="324"/>
      <c r="L5" s="299" t="s">
        <v>69</v>
      </c>
      <c r="M5" s="301" t="s">
        <v>10</v>
      </c>
      <c r="N5" s="302"/>
      <c r="O5" s="303"/>
      <c r="P5" s="304"/>
      <c r="Q5" s="311" t="s">
        <v>70</v>
      </c>
      <c r="R5" s="312"/>
      <c r="S5" s="312"/>
      <c r="T5" s="312"/>
      <c r="U5" s="312"/>
      <c r="V5" s="312"/>
      <c r="W5" s="312"/>
      <c r="X5" s="313"/>
      <c r="Y5" s="315" t="s">
        <v>71</v>
      </c>
      <c r="Z5" s="317" t="s">
        <v>72</v>
      </c>
      <c r="AA5" s="319" t="s">
        <v>73</v>
      </c>
    </row>
    <row r="6" spans="2:28" ht="25.5" customHeight="1">
      <c r="B6" s="335"/>
      <c r="C6" s="337"/>
      <c r="D6" s="337"/>
      <c r="E6" s="337"/>
      <c r="F6" s="342"/>
      <c r="G6" s="344"/>
      <c r="H6" s="346"/>
      <c r="I6" s="322"/>
      <c r="J6" s="323"/>
      <c r="K6" s="324"/>
      <c r="L6" s="299"/>
      <c r="M6" s="305" t="s">
        <v>74</v>
      </c>
      <c r="N6" s="306"/>
      <c r="O6" s="307" t="s">
        <v>75</v>
      </c>
      <c r="P6" s="308"/>
      <c r="Q6" s="314"/>
      <c r="R6" s="312"/>
      <c r="S6" s="312"/>
      <c r="T6" s="312"/>
      <c r="U6" s="312"/>
      <c r="V6" s="312"/>
      <c r="W6" s="312"/>
      <c r="X6" s="313"/>
      <c r="Y6" s="315"/>
      <c r="Z6" s="317"/>
      <c r="AA6" s="320"/>
    </row>
    <row r="7" spans="2:28" ht="39.75" customHeight="1" thickBot="1">
      <c r="B7" s="336"/>
      <c r="C7" s="127" t="s">
        <v>76</v>
      </c>
      <c r="D7" s="329" t="s">
        <v>77</v>
      </c>
      <c r="E7" s="330"/>
      <c r="F7" s="343"/>
      <c r="G7" s="345"/>
      <c r="H7" s="347"/>
      <c r="I7" s="130" t="s">
        <v>17</v>
      </c>
      <c r="J7" s="128" t="s">
        <v>78</v>
      </c>
      <c r="K7" s="131" t="s">
        <v>19</v>
      </c>
      <c r="L7" s="300"/>
      <c r="M7" s="130" t="s">
        <v>21</v>
      </c>
      <c r="N7" s="131" t="s">
        <v>20</v>
      </c>
      <c r="O7" s="134" t="s">
        <v>33</v>
      </c>
      <c r="P7" s="131" t="s">
        <v>34</v>
      </c>
      <c r="Q7" s="126">
        <v>1</v>
      </c>
      <c r="R7" s="129">
        <v>2</v>
      </c>
      <c r="S7" s="129">
        <v>3</v>
      </c>
      <c r="T7" s="129">
        <v>4</v>
      </c>
      <c r="U7" s="129">
        <v>5</v>
      </c>
      <c r="V7" s="129">
        <v>6</v>
      </c>
      <c r="W7" s="129">
        <v>7</v>
      </c>
      <c r="X7" s="135">
        <v>8</v>
      </c>
      <c r="Y7" s="316"/>
      <c r="Z7" s="318"/>
      <c r="AA7" s="321"/>
    </row>
    <row r="8" spans="2:28" ht="25.5" customHeight="1" thickBot="1">
      <c r="B8" s="180">
        <v>1</v>
      </c>
      <c r="C8" s="181" t="str">
        <f>'2965B'!B10</f>
        <v>Jarrold</v>
      </c>
      <c r="D8" s="309" t="str">
        <f>'2965B'!C10</f>
        <v>Bloggs</v>
      </c>
      <c r="E8" s="310"/>
      <c r="F8" s="182" t="str">
        <f>'2965B'!D10</f>
        <v>GIF</v>
      </c>
      <c r="G8" s="183">
        <f>'2965B'!E10</f>
        <v>0.375</v>
      </c>
      <c r="H8" s="184">
        <f>'2965B'!F10</f>
        <v>0.37847222222222221</v>
      </c>
      <c r="I8" s="91">
        <f>'2965B'!G10</f>
        <v>3.4722222222222099E-3</v>
      </c>
      <c r="J8" s="92" t="str">
        <f>'2965B'!H10</f>
        <v/>
      </c>
      <c r="K8" s="94" t="str">
        <f>'2965B'!I10</f>
        <v/>
      </c>
      <c r="L8" s="185" t="str">
        <f>'2965B'!N10</f>
        <v/>
      </c>
      <c r="M8" s="91" t="str">
        <f>'2965B'!K10</f>
        <v/>
      </c>
      <c r="N8" s="94" t="str">
        <f>'2965B'!J10</f>
        <v/>
      </c>
      <c r="O8" s="186" t="str">
        <f>IF('2965B'!L10=TRUE,"ü","")</f>
        <v/>
      </c>
      <c r="P8" s="93" t="str">
        <f>IF('2965B'!M10=TRUE,"ü","")</f>
        <v/>
      </c>
      <c r="Q8" s="91">
        <f>IF('2965B'!S10=1,'2965B'!T10,"")</f>
        <v>3.4722222222222099E-3</v>
      </c>
      <c r="R8" s="92" t="str">
        <f>IF('2965B'!S10=2,'2965B'!T10,"")</f>
        <v/>
      </c>
      <c r="S8" s="92" t="str">
        <f>IF('2965B'!S10=3,'2965B'!T10,"")</f>
        <v/>
      </c>
      <c r="T8" s="92" t="str">
        <f>IF('2965B'!S10=4,'2965B'!T10,"")</f>
        <v/>
      </c>
      <c r="U8" s="92" t="str">
        <f>IF('2965B'!S10=5,'2965B'!T10,"")</f>
        <v/>
      </c>
      <c r="V8" s="92" t="str">
        <f>IF('2965B'!S10=6,'2965B'!T10,"")</f>
        <v/>
      </c>
      <c r="W8" s="92" t="str">
        <f>IF('2965B'!S10=7,'2965B'!T10,"")</f>
        <v/>
      </c>
      <c r="X8" s="94" t="str">
        <f>IF('2965B'!S10=8,'2965B'!T10,"")</f>
        <v/>
      </c>
      <c r="Y8" s="186" t="str">
        <f>IF(OR('2965B'!S10=2,'2965B'!S10=3,'2965B'!S10=4,'2965B'!S10=5),"ü","")</f>
        <v/>
      </c>
      <c r="Z8" s="187" t="str">
        <f>IF('2965B'!P10=TRUE,"ü","")</f>
        <v/>
      </c>
      <c r="AA8" s="188" t="str">
        <f>IFERROR(VLOOKUP('2965B'!Q10,Pilots[[SN Last 3]:[Pilot]],2,FALSE),"")</f>
        <v>MJ</v>
      </c>
      <c r="AB8" s="189" t="str">
        <f>IF('2965B'!$G$5=B8,"Max","")</f>
        <v/>
      </c>
    </row>
    <row r="9" spans="2:28" ht="25.5" customHeight="1" thickTop="1" thickBot="1">
      <c r="B9" s="180">
        <v>2</v>
      </c>
      <c r="C9" s="181" t="str">
        <f>'2965B'!B11</f>
        <v>Winslow, C</v>
      </c>
      <c r="D9" s="309" t="str">
        <f>'2965B'!C11</f>
        <v>Joe</v>
      </c>
      <c r="E9" s="310"/>
      <c r="F9" s="182" t="str">
        <f>'2965B'!D11</f>
        <v>GIF</v>
      </c>
      <c r="G9" s="183">
        <f>'2965B'!E11</f>
        <v>0.38194444444444442</v>
      </c>
      <c r="H9" s="184">
        <f>'2965B'!F11</f>
        <v>0.38541666666666669</v>
      </c>
      <c r="I9" s="91">
        <f>'2965B'!G11</f>
        <v>3.4722222222222654E-3</v>
      </c>
      <c r="J9" s="92" t="str">
        <f>'2965B'!H11</f>
        <v/>
      </c>
      <c r="K9" s="94" t="str">
        <f>'2965B'!I11</f>
        <v/>
      </c>
      <c r="L9" s="185" t="str">
        <f>'2965B'!N11</f>
        <v/>
      </c>
      <c r="M9" s="91" t="str">
        <f>'2965B'!K11</f>
        <v/>
      </c>
      <c r="N9" s="94" t="str">
        <f>'2965B'!J11</f>
        <v/>
      </c>
      <c r="O9" s="186" t="str">
        <f>IF('2965B'!L11=TRUE,"ü","")</f>
        <v/>
      </c>
      <c r="P9" s="93" t="str">
        <f>IF('2965B'!M11=TRUE,"ü","")</f>
        <v/>
      </c>
      <c r="Q9" s="91">
        <f>IF('2965B'!S11=1,'2965B'!T11,"")</f>
        <v>3.4722222222222654E-3</v>
      </c>
      <c r="R9" s="92" t="str">
        <f>IF('2965B'!S11=2,'2965B'!T11,"")</f>
        <v/>
      </c>
      <c r="S9" s="92" t="str">
        <f>IF('2965B'!S11=3,'2965B'!T11,"")</f>
        <v/>
      </c>
      <c r="T9" s="92" t="str">
        <f>IF('2965B'!S11=4,'2965B'!T11,"")</f>
        <v/>
      </c>
      <c r="U9" s="92" t="str">
        <f>IF('2965B'!S11=5,'2965B'!T11,"")</f>
        <v/>
      </c>
      <c r="V9" s="92" t="str">
        <f>IF('2965B'!S11=6,'2965B'!T11,"")</f>
        <v/>
      </c>
      <c r="W9" s="92" t="str">
        <f>IF('2965B'!S11=7,'2965B'!T11,"")</f>
        <v/>
      </c>
      <c r="X9" s="94" t="str">
        <f>IF('2965B'!S11=8,'2965B'!T11,"")</f>
        <v/>
      </c>
      <c r="Y9" s="186" t="str">
        <f>IF(OR('2965B'!S11=2,'2965B'!S11=3,'2965B'!S11=4,'2965B'!S11=5),"ü","")</f>
        <v/>
      </c>
      <c r="Z9" s="187" t="str">
        <f>IF('2965B'!P11=TRUE,"ü","")</f>
        <v/>
      </c>
      <c r="AA9" s="188" t="str">
        <f>IFERROR(VLOOKUP('2965B'!Q11,Pilots[[SN Last 3]:[Pilot]],2,FALSE),"")</f>
        <v/>
      </c>
      <c r="AB9" s="189" t="str">
        <f>IF('2965B'!$G$5=B9,"Max",IF('2965B'!$G$5=B8,"Lchs",""))</f>
        <v/>
      </c>
    </row>
    <row r="10" spans="2:28" ht="25.5" customHeight="1" thickTop="1" thickBot="1">
      <c r="B10" s="180">
        <v>3</v>
      </c>
      <c r="C10" s="181" t="str">
        <f>'2965B'!B12</f>
        <v>Bramwell</v>
      </c>
      <c r="D10" s="309" t="str">
        <f>'2965B'!C12</f>
        <v>Ansell</v>
      </c>
      <c r="E10" s="310"/>
      <c r="F10" s="182" t="str">
        <f>'2965B'!D12</f>
        <v>SCT QGI</v>
      </c>
      <c r="G10" s="183">
        <f>'2965B'!E12</f>
        <v>0.3888888888888889</v>
      </c>
      <c r="H10" s="184">
        <f>'2965B'!F12</f>
        <v>0.40625</v>
      </c>
      <c r="I10" s="91" t="str">
        <f>'2965B'!G12</f>
        <v/>
      </c>
      <c r="J10" s="92" t="str">
        <f>'2965B'!H12</f>
        <v/>
      </c>
      <c r="K10" s="94" t="str">
        <f>'2965B'!I12</f>
        <v/>
      </c>
      <c r="L10" s="185" t="str">
        <f>'2965B'!N12</f>
        <v/>
      </c>
      <c r="M10" s="91" t="str">
        <f>'2965B'!K12</f>
        <v/>
      </c>
      <c r="N10" s="94">
        <f>'2965B'!J12</f>
        <v>1.7361111111111105E-2</v>
      </c>
      <c r="O10" s="186" t="str">
        <f>IF('2965B'!L12=TRUE,"ü","")</f>
        <v/>
      </c>
      <c r="P10" s="93" t="str">
        <f>IF('2965B'!M12=TRUE,"ü","")</f>
        <v>ü</v>
      </c>
      <c r="Q10" s="91" t="str">
        <f>IF('2965B'!S12=1,'2965B'!T12,"")</f>
        <v/>
      </c>
      <c r="R10" s="92" t="str">
        <f>IF('2965B'!S12=2,'2965B'!T12,"")</f>
        <v/>
      </c>
      <c r="S10" s="92" t="str">
        <f>IF('2965B'!S12=3,'2965B'!T12,"")</f>
        <v/>
      </c>
      <c r="T10" s="92" t="str">
        <f>IF('2965B'!S12=4,'2965B'!T12,"")</f>
        <v/>
      </c>
      <c r="U10" s="92" t="str">
        <f>IF('2965B'!S12=5,'2965B'!T12,"")</f>
        <v/>
      </c>
      <c r="V10" s="92">
        <f>IF('2965B'!S12=6,'2965B'!T12,"")</f>
        <v>1.7361111111111105E-2</v>
      </c>
      <c r="W10" s="92" t="str">
        <f>IF('2965B'!S12=7,'2965B'!T12,"")</f>
        <v/>
      </c>
      <c r="X10" s="94" t="str">
        <f>IF('2965B'!S12=8,'2965B'!T12,"")</f>
        <v/>
      </c>
      <c r="Y10" s="186" t="str">
        <f>IF(OR('2965B'!S12=2,'2965B'!S12=3,'2965B'!S12=4,'2965B'!S12=5),"ü","")</f>
        <v/>
      </c>
      <c r="Z10" s="187" t="str">
        <f>IF('2965B'!P12=TRUE,"ü","")</f>
        <v/>
      </c>
      <c r="AA10" s="188" t="str">
        <f>IFERROR(VLOOKUP('2965B'!Q12,Pilots[[SN Last 3]:[Pilot]],2,FALSE),"")</f>
        <v>JB</v>
      </c>
      <c r="AB10" s="189" t="str">
        <f>IF('2965B'!$G$5=B10,"Max",IF('2965B'!$G$5=B9,"Lchs",""))</f>
        <v/>
      </c>
    </row>
    <row r="11" spans="2:28" ht="25.5" customHeight="1" thickTop="1" thickBot="1">
      <c r="B11" s="180">
        <v>4</v>
      </c>
      <c r="C11" s="181" t="str">
        <f>'2965B'!B13</f>
        <v>Bramwell</v>
      </c>
      <c r="D11" s="309" t="str">
        <f>'2965B'!C13</f>
        <v>Ansell</v>
      </c>
      <c r="E11" s="310"/>
      <c r="F11" s="182" t="str">
        <f>'2965B'!D13</f>
        <v>SCT QGI</v>
      </c>
      <c r="G11" s="183">
        <f>'2965B'!E13</f>
        <v>0.40972222222222221</v>
      </c>
      <c r="H11" s="184">
        <f>'2965B'!F13</f>
        <v>0.41041666666666665</v>
      </c>
      <c r="I11" s="91" t="str">
        <f>'2965B'!G13</f>
        <v/>
      </c>
      <c r="J11" s="92" t="str">
        <f>'2965B'!H13</f>
        <v/>
      </c>
      <c r="K11" s="94" t="str">
        <f>'2965B'!I13</f>
        <v/>
      </c>
      <c r="L11" s="185" t="str">
        <f>'2965B'!N13</f>
        <v/>
      </c>
      <c r="M11" s="91" t="str">
        <f>'2965B'!K13</f>
        <v/>
      </c>
      <c r="N11" s="94">
        <f>'2965B'!J13</f>
        <v>6.9444444444444198E-4</v>
      </c>
      <c r="O11" s="186" t="str">
        <f>IF('2965B'!L13=TRUE,"ü","")</f>
        <v/>
      </c>
      <c r="P11" s="93" t="str">
        <f>IF('2965B'!M13=TRUE,"ü","")</f>
        <v>ü</v>
      </c>
      <c r="Q11" s="91">
        <f>IF('2965B'!S13=1,'2965B'!T13,"")</f>
        <v>6.9444444444444198E-4</v>
      </c>
      <c r="R11" s="92" t="str">
        <f>IF('2965B'!S13=2,'2965B'!T13,"")</f>
        <v/>
      </c>
      <c r="S11" s="92" t="str">
        <f>IF('2965B'!S13=3,'2965B'!T13,"")</f>
        <v/>
      </c>
      <c r="T11" s="92" t="str">
        <f>IF('2965B'!S13=4,'2965B'!T13,"")</f>
        <v/>
      </c>
      <c r="U11" s="92" t="str">
        <f>IF('2965B'!S13=5,'2965B'!T13,"")</f>
        <v/>
      </c>
      <c r="V11" s="92" t="str">
        <f>IF('2965B'!S13=6,'2965B'!T13,"")</f>
        <v/>
      </c>
      <c r="W11" s="92" t="str">
        <f>IF('2965B'!S13=7,'2965B'!T13,"")</f>
        <v/>
      </c>
      <c r="X11" s="94" t="str">
        <f>IF('2965B'!S13=8,'2965B'!T13,"")</f>
        <v/>
      </c>
      <c r="Y11" s="186" t="str">
        <f>IF(OR('2965B'!S13=2,'2965B'!S13=3,'2965B'!S13=4,'2965B'!S13=5),"ü","")</f>
        <v/>
      </c>
      <c r="Z11" s="187" t="str">
        <f>IF('2965B'!P13=TRUE,"ü","")</f>
        <v>ü</v>
      </c>
      <c r="AA11" s="188" t="str">
        <f>IFERROR(VLOOKUP('2965B'!Q13,Pilots[[SN Last 3]:[Pilot]],2,FALSE),"")</f>
        <v>JB</v>
      </c>
      <c r="AB11" s="189" t="str">
        <f>IF('2965B'!$G$5=B11,"Max",IF('2965B'!$G$5=B10,"Lchs",""))</f>
        <v/>
      </c>
    </row>
    <row r="12" spans="2:28" ht="25.5" customHeight="1" thickTop="1" thickBot="1">
      <c r="B12" s="180">
        <v>5</v>
      </c>
      <c r="C12" s="181" t="str">
        <f>'2965B'!B14</f>
        <v>Ashby</v>
      </c>
      <c r="D12" s="309" t="str">
        <f>'2965B'!C14</f>
        <v>Bloggs</v>
      </c>
      <c r="E12" s="310"/>
      <c r="F12" s="182" t="str">
        <f>'2965B'!D14</f>
        <v>PAX</v>
      </c>
      <c r="G12" s="183">
        <f>'2965B'!E14</f>
        <v>0.41666666666666669</v>
      </c>
      <c r="H12" s="184">
        <f>'2965B'!F14</f>
        <v>0.4201388888888889</v>
      </c>
      <c r="I12" s="91" t="str">
        <f>'2965B'!G14</f>
        <v/>
      </c>
      <c r="J12" s="92" t="str">
        <f>'2965B'!H14</f>
        <v/>
      </c>
      <c r="K12" s="94" t="str">
        <f>'2965B'!I14</f>
        <v/>
      </c>
      <c r="L12" s="185">
        <f>'2965B'!N14</f>
        <v>3.4722222222222099E-3</v>
      </c>
      <c r="M12" s="91" t="str">
        <f>'2965B'!K14</f>
        <v/>
      </c>
      <c r="N12" s="94" t="str">
        <f>'2965B'!J14</f>
        <v/>
      </c>
      <c r="O12" s="186" t="str">
        <f>IF('2965B'!L14=TRUE,"ü","")</f>
        <v/>
      </c>
      <c r="P12" s="93" t="str">
        <f>IF('2965B'!M14=TRUE,"ü","")</f>
        <v/>
      </c>
      <c r="Q12" s="91">
        <f>IF('2965B'!S14=1,'2965B'!T14,"")</f>
        <v>3.4722222222222099E-3</v>
      </c>
      <c r="R12" s="92" t="str">
        <f>IF('2965B'!S14=2,'2965B'!T14,"")</f>
        <v/>
      </c>
      <c r="S12" s="92" t="str">
        <f>IF('2965B'!S14=3,'2965B'!T14,"")</f>
        <v/>
      </c>
      <c r="T12" s="92" t="str">
        <f>IF('2965B'!S14=4,'2965B'!T14,"")</f>
        <v/>
      </c>
      <c r="U12" s="92" t="str">
        <f>IF('2965B'!S14=5,'2965B'!T14,"")</f>
        <v/>
      </c>
      <c r="V12" s="92" t="str">
        <f>IF('2965B'!S14=6,'2965B'!T14,"")</f>
        <v/>
      </c>
      <c r="W12" s="92" t="str">
        <f>IF('2965B'!S14=7,'2965B'!T14,"")</f>
        <v/>
      </c>
      <c r="X12" s="94" t="str">
        <f>IF('2965B'!S14=8,'2965B'!T14,"")</f>
        <v/>
      </c>
      <c r="Y12" s="186" t="str">
        <f>IF(OR('2965B'!S14=2,'2965B'!S14=3,'2965B'!S14=4,'2965B'!S14=5),"ü","")</f>
        <v/>
      </c>
      <c r="Z12" s="187" t="str">
        <f>IF('2965B'!P14=TRUE,"ü","")</f>
        <v/>
      </c>
      <c r="AA12" s="188" t="str">
        <f>IFERROR(VLOOKUP('2965B'!Q14,Pilots[[SN Last 3]:[Pilot]],2,FALSE),"")</f>
        <v/>
      </c>
      <c r="AB12" s="189" t="str">
        <f>IF('2965B'!$G$5=B12,"Max",IF('2965B'!$G$5=B11,"Lchs",""))</f>
        <v/>
      </c>
    </row>
    <row r="13" spans="2:28" ht="25.5" customHeight="1" thickTop="1" thickBot="1">
      <c r="B13" s="180">
        <v>6</v>
      </c>
      <c r="C13" s="181">
        <f>'2965B'!B15</f>
        <v>0</v>
      </c>
      <c r="D13" s="309">
        <f>'2965B'!C15</f>
        <v>0</v>
      </c>
      <c r="E13" s="310"/>
      <c r="F13" s="182">
        <f>'2965B'!D15</f>
        <v>0</v>
      </c>
      <c r="G13" s="183">
        <f>'2965B'!E15</f>
        <v>0</v>
      </c>
      <c r="H13" s="184">
        <f>'2965B'!F15</f>
        <v>0</v>
      </c>
      <c r="I13" s="91" t="str">
        <f>'2965B'!G15</f>
        <v/>
      </c>
      <c r="J13" s="92" t="str">
        <f>'2965B'!H15</f>
        <v/>
      </c>
      <c r="K13" s="94" t="str">
        <f>'2965B'!I15</f>
        <v/>
      </c>
      <c r="L13" s="185" t="str">
        <f>'2965B'!N15</f>
        <v/>
      </c>
      <c r="M13" s="91" t="str">
        <f>'2965B'!K15</f>
        <v/>
      </c>
      <c r="N13" s="94" t="str">
        <f>'2965B'!J15</f>
        <v/>
      </c>
      <c r="O13" s="186" t="str">
        <f>IF('2965B'!L15=TRUE,"ü","")</f>
        <v/>
      </c>
      <c r="P13" s="93" t="str">
        <f>IF('2965B'!M15=TRUE,"ü","")</f>
        <v/>
      </c>
      <c r="Q13" s="91" t="str">
        <f>IF('2965B'!S15=1,'2965B'!T15,"")</f>
        <v/>
      </c>
      <c r="R13" s="92" t="str">
        <f>IF('2965B'!S15=2,'2965B'!T15,"")</f>
        <v/>
      </c>
      <c r="S13" s="92" t="str">
        <f>IF('2965B'!S15=3,'2965B'!T15,"")</f>
        <v/>
      </c>
      <c r="T13" s="92" t="str">
        <f>IF('2965B'!S15=4,'2965B'!T15,"")</f>
        <v/>
      </c>
      <c r="U13" s="92" t="str">
        <f>IF('2965B'!S15=5,'2965B'!T15,"")</f>
        <v/>
      </c>
      <c r="V13" s="92" t="str">
        <f>IF('2965B'!S15=6,'2965B'!T15,"")</f>
        <v/>
      </c>
      <c r="W13" s="92" t="str">
        <f>IF('2965B'!S15=7,'2965B'!T15,"")</f>
        <v/>
      </c>
      <c r="X13" s="94" t="str">
        <f>IF('2965B'!S15=8,'2965B'!T15,"")</f>
        <v/>
      </c>
      <c r="Y13" s="186" t="str">
        <f>IF(OR('2965B'!S15=2,'2965B'!S15=3,'2965B'!S15=4,'2965B'!S15=5),"ü","")</f>
        <v/>
      </c>
      <c r="Z13" s="187" t="str">
        <f>IF('2965B'!P15=TRUE,"ü","")</f>
        <v/>
      </c>
      <c r="AA13" s="188" t="str">
        <f>IFERROR(VLOOKUP('2965B'!Q15,Pilots[[SN Last 3]:[Pilot]],2,FALSE),"")</f>
        <v/>
      </c>
      <c r="AB13" s="189" t="str">
        <f>IF('2965B'!$G$5=B13,"Max",IF('2965B'!$G$5=B12,"Lchs",""))</f>
        <v/>
      </c>
    </row>
    <row r="14" spans="2:28" ht="25.5" customHeight="1" thickTop="1" thickBot="1">
      <c r="B14" s="180">
        <v>7</v>
      </c>
      <c r="C14" s="181">
        <f>'2965B'!B16</f>
        <v>0</v>
      </c>
      <c r="D14" s="309">
        <f>'2965B'!C16</f>
        <v>0</v>
      </c>
      <c r="E14" s="310"/>
      <c r="F14" s="182">
        <f>'2965B'!D16</f>
        <v>0</v>
      </c>
      <c r="G14" s="183">
        <f>'2965B'!E16</f>
        <v>0</v>
      </c>
      <c r="H14" s="184">
        <f>'2965B'!F16</f>
        <v>0</v>
      </c>
      <c r="I14" s="91" t="str">
        <f>'2965B'!G16</f>
        <v/>
      </c>
      <c r="J14" s="92" t="str">
        <f>'2965B'!H16</f>
        <v/>
      </c>
      <c r="K14" s="94" t="str">
        <f>'2965B'!I16</f>
        <v/>
      </c>
      <c r="L14" s="185" t="str">
        <f>'2965B'!N16</f>
        <v/>
      </c>
      <c r="M14" s="91" t="str">
        <f>'2965B'!K16</f>
        <v/>
      </c>
      <c r="N14" s="94" t="str">
        <f>'2965B'!J16</f>
        <v/>
      </c>
      <c r="O14" s="186" t="str">
        <f>IF('2965B'!L16=TRUE,"ü","")</f>
        <v/>
      </c>
      <c r="P14" s="93" t="str">
        <f>IF('2965B'!M16=TRUE,"ü","")</f>
        <v/>
      </c>
      <c r="Q14" s="91" t="str">
        <f>IF('2965B'!S16=1,'2965B'!T16,"")</f>
        <v/>
      </c>
      <c r="R14" s="92" t="str">
        <f>IF('2965B'!S16=2,'2965B'!T16,"")</f>
        <v/>
      </c>
      <c r="S14" s="92" t="str">
        <f>IF('2965B'!S16=3,'2965B'!T16,"")</f>
        <v/>
      </c>
      <c r="T14" s="92" t="str">
        <f>IF('2965B'!S16=4,'2965B'!T16,"")</f>
        <v/>
      </c>
      <c r="U14" s="92" t="str">
        <f>IF('2965B'!S16=5,'2965B'!T16,"")</f>
        <v/>
      </c>
      <c r="V14" s="92" t="str">
        <f>IF('2965B'!S16=6,'2965B'!T16,"")</f>
        <v/>
      </c>
      <c r="W14" s="92" t="str">
        <f>IF('2965B'!S16=7,'2965B'!T16,"")</f>
        <v/>
      </c>
      <c r="X14" s="94" t="str">
        <f>IF('2965B'!S16=8,'2965B'!T16,"")</f>
        <v/>
      </c>
      <c r="Y14" s="186" t="str">
        <f>IF(OR('2965B'!S16=2,'2965B'!S16=3,'2965B'!S16=4,'2965B'!S16=5),"ü","")</f>
        <v/>
      </c>
      <c r="Z14" s="187" t="str">
        <f>IF('2965B'!P16=TRUE,"ü","")</f>
        <v/>
      </c>
      <c r="AA14" s="188" t="str">
        <f>IFERROR(VLOOKUP('2965B'!Q16,Pilots[[SN Last 3]:[Pilot]],2,FALSE),"")</f>
        <v/>
      </c>
      <c r="AB14" s="189" t="str">
        <f>IF('2965B'!$G$5=B14,"Max",IF('2965B'!$G$5=B13,"Lchs",""))</f>
        <v/>
      </c>
    </row>
    <row r="15" spans="2:28" ht="25.5" customHeight="1" thickTop="1" thickBot="1">
      <c r="B15" s="180">
        <v>8</v>
      </c>
      <c r="C15" s="181">
        <f>'2965B'!B17</f>
        <v>0</v>
      </c>
      <c r="D15" s="309">
        <f>'2965B'!C17</f>
        <v>0</v>
      </c>
      <c r="E15" s="310"/>
      <c r="F15" s="182">
        <f>'2965B'!D17</f>
        <v>0</v>
      </c>
      <c r="G15" s="183">
        <f>'2965B'!E17</f>
        <v>0</v>
      </c>
      <c r="H15" s="184">
        <f>'2965B'!F17</f>
        <v>0</v>
      </c>
      <c r="I15" s="91" t="str">
        <f>'2965B'!G17</f>
        <v/>
      </c>
      <c r="J15" s="92" t="str">
        <f>'2965B'!H17</f>
        <v/>
      </c>
      <c r="K15" s="94" t="str">
        <f>'2965B'!I17</f>
        <v/>
      </c>
      <c r="L15" s="185" t="str">
        <f>'2965B'!N17</f>
        <v/>
      </c>
      <c r="M15" s="91" t="str">
        <f>'2965B'!K17</f>
        <v/>
      </c>
      <c r="N15" s="94" t="str">
        <f>'2965B'!J17</f>
        <v/>
      </c>
      <c r="O15" s="186" t="str">
        <f>IF('2965B'!L17=TRUE,"ü","")</f>
        <v/>
      </c>
      <c r="P15" s="93" t="str">
        <f>IF('2965B'!M17=TRUE,"ü","")</f>
        <v/>
      </c>
      <c r="Q15" s="91" t="str">
        <f>IF('2965B'!S17=1,'2965B'!T17,"")</f>
        <v/>
      </c>
      <c r="R15" s="92" t="str">
        <f>IF('2965B'!S17=2,'2965B'!T17,"")</f>
        <v/>
      </c>
      <c r="S15" s="92" t="str">
        <f>IF('2965B'!S17=3,'2965B'!T17,"")</f>
        <v/>
      </c>
      <c r="T15" s="92" t="str">
        <f>IF('2965B'!S17=4,'2965B'!T17,"")</f>
        <v/>
      </c>
      <c r="U15" s="92" t="str">
        <f>IF('2965B'!S17=5,'2965B'!T17,"")</f>
        <v/>
      </c>
      <c r="V15" s="92" t="str">
        <f>IF('2965B'!S17=6,'2965B'!T17,"")</f>
        <v/>
      </c>
      <c r="W15" s="92" t="str">
        <f>IF('2965B'!S17=7,'2965B'!T17,"")</f>
        <v/>
      </c>
      <c r="X15" s="94" t="str">
        <f>IF('2965B'!S17=8,'2965B'!T17,"")</f>
        <v/>
      </c>
      <c r="Y15" s="186" t="str">
        <f>IF(OR('2965B'!S17=2,'2965B'!S17=3,'2965B'!S17=4,'2965B'!S17=5),"ü","")</f>
        <v/>
      </c>
      <c r="Z15" s="187" t="str">
        <f>IF('2965B'!P17=TRUE,"ü","")</f>
        <v/>
      </c>
      <c r="AA15" s="188" t="str">
        <f>IFERROR(VLOOKUP('2965B'!Q17,Pilots[[SN Last 3]:[Pilot]],2,FALSE),"")</f>
        <v/>
      </c>
      <c r="AB15" s="189" t="str">
        <f>IF('2965B'!$G$5=B15,"Max",IF('2965B'!$G$5=B14,"Lchs",""))</f>
        <v/>
      </c>
    </row>
    <row r="16" spans="2:28" ht="25.5" customHeight="1" thickTop="1" thickBot="1">
      <c r="B16" s="180">
        <v>9</v>
      </c>
      <c r="C16" s="181">
        <f>'2965B'!B18</f>
        <v>0</v>
      </c>
      <c r="D16" s="309">
        <f>'2965B'!C18</f>
        <v>0</v>
      </c>
      <c r="E16" s="310"/>
      <c r="F16" s="182">
        <f>'2965B'!D18</f>
        <v>0</v>
      </c>
      <c r="G16" s="183">
        <f>'2965B'!E18</f>
        <v>0</v>
      </c>
      <c r="H16" s="184">
        <f>'2965B'!F18</f>
        <v>0</v>
      </c>
      <c r="I16" s="91" t="str">
        <f>'2965B'!G18</f>
        <v/>
      </c>
      <c r="J16" s="92" t="str">
        <f>'2965B'!H18</f>
        <v/>
      </c>
      <c r="K16" s="94" t="str">
        <f>'2965B'!I18</f>
        <v/>
      </c>
      <c r="L16" s="185" t="str">
        <f>'2965B'!N18</f>
        <v/>
      </c>
      <c r="M16" s="91" t="str">
        <f>'2965B'!K18</f>
        <v/>
      </c>
      <c r="N16" s="94" t="str">
        <f>'2965B'!J18</f>
        <v/>
      </c>
      <c r="O16" s="186" t="str">
        <f>IF('2965B'!L18=TRUE,"ü","")</f>
        <v/>
      </c>
      <c r="P16" s="93" t="str">
        <f>IF('2965B'!M18=TRUE,"ü","")</f>
        <v/>
      </c>
      <c r="Q16" s="91" t="str">
        <f>IF('2965B'!S18=1,'2965B'!T18,"")</f>
        <v/>
      </c>
      <c r="R16" s="92" t="str">
        <f>IF('2965B'!S18=2,'2965B'!T18,"")</f>
        <v/>
      </c>
      <c r="S16" s="92" t="str">
        <f>IF('2965B'!S18=3,'2965B'!T18,"")</f>
        <v/>
      </c>
      <c r="T16" s="92" t="str">
        <f>IF('2965B'!S18=4,'2965B'!T18,"")</f>
        <v/>
      </c>
      <c r="U16" s="92" t="str">
        <f>IF('2965B'!S18=5,'2965B'!T18,"")</f>
        <v/>
      </c>
      <c r="V16" s="92" t="str">
        <f>IF('2965B'!S18=6,'2965B'!T18,"")</f>
        <v/>
      </c>
      <c r="W16" s="92" t="str">
        <f>IF('2965B'!S18=7,'2965B'!T18,"")</f>
        <v/>
      </c>
      <c r="X16" s="94" t="str">
        <f>IF('2965B'!S18=8,'2965B'!T18,"")</f>
        <v/>
      </c>
      <c r="Y16" s="186" t="str">
        <f>IF(OR('2965B'!S18=2,'2965B'!S18=3,'2965B'!S18=4,'2965B'!S18=5),"ü","")</f>
        <v/>
      </c>
      <c r="Z16" s="187" t="str">
        <f>IF('2965B'!P18=TRUE,"ü","")</f>
        <v/>
      </c>
      <c r="AA16" s="188" t="str">
        <f>IFERROR(VLOOKUP('2965B'!Q18,Pilots[[SN Last 3]:[Pilot]],2,FALSE),"")</f>
        <v/>
      </c>
      <c r="AB16" s="189" t="str">
        <f>IF('2965B'!$G$5=B16,"Max",IF('2965B'!$G$5=B15,"Lchs",""))</f>
        <v/>
      </c>
    </row>
    <row r="17" spans="2:28" ht="25.5" customHeight="1" thickTop="1" thickBot="1">
      <c r="B17" s="180">
        <v>10</v>
      </c>
      <c r="C17" s="181">
        <f>'2965B'!B19</f>
        <v>0</v>
      </c>
      <c r="D17" s="309">
        <f>'2965B'!C19</f>
        <v>0</v>
      </c>
      <c r="E17" s="310"/>
      <c r="F17" s="182">
        <f>'2965B'!D19</f>
        <v>0</v>
      </c>
      <c r="G17" s="183">
        <f>'2965B'!E19</f>
        <v>0</v>
      </c>
      <c r="H17" s="184">
        <f>'2965B'!F19</f>
        <v>0</v>
      </c>
      <c r="I17" s="91" t="str">
        <f>'2965B'!G19</f>
        <v/>
      </c>
      <c r="J17" s="92" t="str">
        <f>'2965B'!H19</f>
        <v/>
      </c>
      <c r="K17" s="94" t="str">
        <f>'2965B'!I19</f>
        <v/>
      </c>
      <c r="L17" s="185" t="str">
        <f>'2965B'!N19</f>
        <v/>
      </c>
      <c r="M17" s="91" t="str">
        <f>'2965B'!K19</f>
        <v/>
      </c>
      <c r="N17" s="94" t="str">
        <f>'2965B'!J19</f>
        <v/>
      </c>
      <c r="O17" s="186" t="str">
        <f>IF('2965B'!L19=TRUE,"ü","")</f>
        <v/>
      </c>
      <c r="P17" s="93" t="str">
        <f>IF('2965B'!M19=TRUE,"ü","")</f>
        <v/>
      </c>
      <c r="Q17" s="91" t="str">
        <f>IF('2965B'!S19=1,'2965B'!T19,"")</f>
        <v/>
      </c>
      <c r="R17" s="92" t="str">
        <f>IF('2965B'!S19=2,'2965B'!T19,"")</f>
        <v/>
      </c>
      <c r="S17" s="92" t="str">
        <f>IF('2965B'!S19=3,'2965B'!T19,"")</f>
        <v/>
      </c>
      <c r="T17" s="92" t="str">
        <f>IF('2965B'!S19=4,'2965B'!T19,"")</f>
        <v/>
      </c>
      <c r="U17" s="92" t="str">
        <f>IF('2965B'!S19=5,'2965B'!T19,"")</f>
        <v/>
      </c>
      <c r="V17" s="92" t="str">
        <f>IF('2965B'!S19=6,'2965B'!T19,"")</f>
        <v/>
      </c>
      <c r="W17" s="92" t="str">
        <f>IF('2965B'!S19=7,'2965B'!T19,"")</f>
        <v/>
      </c>
      <c r="X17" s="94" t="str">
        <f>IF('2965B'!S19=8,'2965B'!T19,"")</f>
        <v/>
      </c>
      <c r="Y17" s="186" t="str">
        <f>IF(OR('2965B'!S19=2,'2965B'!S19=3,'2965B'!S19=4,'2965B'!S19=5),"ü","")</f>
        <v/>
      </c>
      <c r="Z17" s="187" t="str">
        <f>IF('2965B'!P19=TRUE,"ü","")</f>
        <v/>
      </c>
      <c r="AA17" s="188" t="str">
        <f>IFERROR(VLOOKUP('2965B'!Q19,Pilots[[SN Last 3]:[Pilot]],2,FALSE),"")</f>
        <v/>
      </c>
      <c r="AB17" s="189" t="str">
        <f>IF('2965B'!$G$5=B17,"Max",IF('2965B'!$G$5=B16,"Lchs",""))</f>
        <v/>
      </c>
    </row>
    <row r="18" spans="2:28" ht="25.5" customHeight="1" thickTop="1" thickBot="1">
      <c r="B18" s="180">
        <v>11</v>
      </c>
      <c r="C18" s="181">
        <f>'2965B'!B20</f>
        <v>0</v>
      </c>
      <c r="D18" s="309">
        <f>'2965B'!C20</f>
        <v>0</v>
      </c>
      <c r="E18" s="310"/>
      <c r="F18" s="182">
        <f>'2965B'!D20</f>
        <v>0</v>
      </c>
      <c r="G18" s="183">
        <f>'2965B'!E20</f>
        <v>0</v>
      </c>
      <c r="H18" s="184">
        <f>'2965B'!F20</f>
        <v>0</v>
      </c>
      <c r="I18" s="91" t="str">
        <f>'2965B'!G20</f>
        <v/>
      </c>
      <c r="J18" s="92" t="str">
        <f>'2965B'!H20</f>
        <v/>
      </c>
      <c r="K18" s="94" t="str">
        <f>'2965B'!I20</f>
        <v/>
      </c>
      <c r="L18" s="185" t="str">
        <f>'2965B'!N20</f>
        <v/>
      </c>
      <c r="M18" s="91" t="str">
        <f>'2965B'!K20</f>
        <v/>
      </c>
      <c r="N18" s="94" t="str">
        <f>'2965B'!J20</f>
        <v/>
      </c>
      <c r="O18" s="186" t="str">
        <f>IF('2965B'!L20=TRUE,"ü","")</f>
        <v/>
      </c>
      <c r="P18" s="93" t="str">
        <f>IF('2965B'!M20=TRUE,"ü","")</f>
        <v/>
      </c>
      <c r="Q18" s="91" t="str">
        <f>IF('2965B'!S20=1,'2965B'!T20,"")</f>
        <v/>
      </c>
      <c r="R18" s="92" t="str">
        <f>IF('2965B'!S20=2,'2965B'!T20,"")</f>
        <v/>
      </c>
      <c r="S18" s="92" t="str">
        <f>IF('2965B'!S20=3,'2965B'!T20,"")</f>
        <v/>
      </c>
      <c r="T18" s="92" t="str">
        <f>IF('2965B'!S20=4,'2965B'!T20,"")</f>
        <v/>
      </c>
      <c r="U18" s="92" t="str">
        <f>IF('2965B'!S20=5,'2965B'!T20,"")</f>
        <v/>
      </c>
      <c r="V18" s="92" t="str">
        <f>IF('2965B'!S20=6,'2965B'!T20,"")</f>
        <v/>
      </c>
      <c r="W18" s="92" t="str">
        <f>IF('2965B'!S20=7,'2965B'!T20,"")</f>
        <v/>
      </c>
      <c r="X18" s="94" t="str">
        <f>IF('2965B'!S20=8,'2965B'!T20,"")</f>
        <v/>
      </c>
      <c r="Y18" s="186" t="str">
        <f>IF(OR('2965B'!S20=2,'2965B'!S20=3,'2965B'!S20=4,'2965B'!S20=5),"ü","")</f>
        <v/>
      </c>
      <c r="Z18" s="187" t="str">
        <f>IF('2965B'!P20=TRUE,"ü","")</f>
        <v/>
      </c>
      <c r="AA18" s="188" t="str">
        <f>IFERROR(VLOOKUP('2965B'!Q20,Pilots[[SN Last 3]:[Pilot]],2,FALSE),"")</f>
        <v/>
      </c>
      <c r="AB18" s="189" t="str">
        <f>IF('2965B'!$G$5=B18,"Max",IF('2965B'!$G$5=B17,"Lchs",""))</f>
        <v/>
      </c>
    </row>
    <row r="19" spans="2:28" ht="25.5" customHeight="1" thickTop="1" thickBot="1">
      <c r="B19" s="180">
        <v>12</v>
      </c>
      <c r="C19" s="181">
        <f>'2965B'!B21</f>
        <v>0</v>
      </c>
      <c r="D19" s="309">
        <f>'2965B'!C21</f>
        <v>0</v>
      </c>
      <c r="E19" s="310"/>
      <c r="F19" s="182">
        <f>'2965B'!D21</f>
        <v>0</v>
      </c>
      <c r="G19" s="183">
        <f>'2965B'!E21</f>
        <v>0</v>
      </c>
      <c r="H19" s="184">
        <f>'2965B'!F21</f>
        <v>0</v>
      </c>
      <c r="I19" s="91" t="str">
        <f>'2965B'!G21</f>
        <v/>
      </c>
      <c r="J19" s="92" t="str">
        <f>'2965B'!H21</f>
        <v/>
      </c>
      <c r="K19" s="94" t="str">
        <f>'2965B'!I21</f>
        <v/>
      </c>
      <c r="L19" s="185" t="str">
        <f>'2965B'!N21</f>
        <v/>
      </c>
      <c r="M19" s="91" t="str">
        <f>'2965B'!K21</f>
        <v/>
      </c>
      <c r="N19" s="94" t="str">
        <f>'2965B'!J21</f>
        <v/>
      </c>
      <c r="O19" s="186" t="str">
        <f>IF('2965B'!L21=TRUE,"ü","")</f>
        <v/>
      </c>
      <c r="P19" s="93" t="str">
        <f>IF('2965B'!M21=TRUE,"ü","")</f>
        <v/>
      </c>
      <c r="Q19" s="91" t="str">
        <f>IF('2965B'!S21=1,'2965B'!T21,"")</f>
        <v/>
      </c>
      <c r="R19" s="92" t="str">
        <f>IF('2965B'!S21=2,'2965B'!T21,"")</f>
        <v/>
      </c>
      <c r="S19" s="92" t="str">
        <f>IF('2965B'!S21=3,'2965B'!T21,"")</f>
        <v/>
      </c>
      <c r="T19" s="92" t="str">
        <f>IF('2965B'!S21=4,'2965B'!T21,"")</f>
        <v/>
      </c>
      <c r="U19" s="92" t="str">
        <f>IF('2965B'!S21=5,'2965B'!T21,"")</f>
        <v/>
      </c>
      <c r="V19" s="92" t="str">
        <f>IF('2965B'!S21=6,'2965B'!T21,"")</f>
        <v/>
      </c>
      <c r="W19" s="92" t="str">
        <f>IF('2965B'!S21=7,'2965B'!T21,"")</f>
        <v/>
      </c>
      <c r="X19" s="94" t="str">
        <f>IF('2965B'!S21=8,'2965B'!T21,"")</f>
        <v/>
      </c>
      <c r="Y19" s="186" t="str">
        <f>IF(OR('2965B'!S21=2,'2965B'!S21=3,'2965B'!S21=4,'2965B'!S21=5),"ü","")</f>
        <v/>
      </c>
      <c r="Z19" s="187" t="str">
        <f>IF('2965B'!P21=TRUE,"ü","")</f>
        <v/>
      </c>
      <c r="AA19" s="188" t="str">
        <f>IFERROR(VLOOKUP('2965B'!Q21,Pilots[[SN Last 3]:[Pilot]],2,FALSE),"")</f>
        <v/>
      </c>
      <c r="AB19" s="189" t="str">
        <f>IF('2965B'!$G$5=B19,"Max",IF('2965B'!$G$5=B18,"Lchs",""))</f>
        <v/>
      </c>
    </row>
    <row r="20" spans="2:28" ht="25.5" customHeight="1" thickTop="1" thickBot="1">
      <c r="B20" s="180">
        <v>13</v>
      </c>
      <c r="C20" s="181">
        <f>'2965B'!B22</f>
        <v>0</v>
      </c>
      <c r="D20" s="309">
        <f>'2965B'!C22</f>
        <v>0</v>
      </c>
      <c r="E20" s="310"/>
      <c r="F20" s="182">
        <f>'2965B'!D22</f>
        <v>0</v>
      </c>
      <c r="G20" s="183">
        <f>'2965B'!E22</f>
        <v>0</v>
      </c>
      <c r="H20" s="184">
        <f>'2965B'!F22</f>
        <v>0</v>
      </c>
      <c r="I20" s="91" t="str">
        <f>'2965B'!G22</f>
        <v/>
      </c>
      <c r="J20" s="92" t="str">
        <f>'2965B'!H22</f>
        <v/>
      </c>
      <c r="K20" s="94" t="str">
        <f>'2965B'!I22</f>
        <v/>
      </c>
      <c r="L20" s="185" t="str">
        <f>'2965B'!N22</f>
        <v/>
      </c>
      <c r="M20" s="91" t="str">
        <f>'2965B'!K22</f>
        <v/>
      </c>
      <c r="N20" s="94" t="str">
        <f>'2965B'!J22</f>
        <v/>
      </c>
      <c r="O20" s="186" t="str">
        <f>IF('2965B'!L22=TRUE,"ü","")</f>
        <v/>
      </c>
      <c r="P20" s="93" t="str">
        <f>IF('2965B'!M22=TRUE,"ü","")</f>
        <v/>
      </c>
      <c r="Q20" s="91" t="str">
        <f>IF('2965B'!S22=1,'2965B'!T22,"")</f>
        <v/>
      </c>
      <c r="R20" s="92" t="str">
        <f>IF('2965B'!S22=2,'2965B'!T22,"")</f>
        <v/>
      </c>
      <c r="S20" s="92" t="str">
        <f>IF('2965B'!S22=3,'2965B'!T22,"")</f>
        <v/>
      </c>
      <c r="T20" s="92" t="str">
        <f>IF('2965B'!S22=4,'2965B'!T22,"")</f>
        <v/>
      </c>
      <c r="U20" s="92" t="str">
        <f>IF('2965B'!S22=5,'2965B'!T22,"")</f>
        <v/>
      </c>
      <c r="V20" s="92" t="str">
        <f>IF('2965B'!S22=6,'2965B'!T22,"")</f>
        <v/>
      </c>
      <c r="W20" s="92" t="str">
        <f>IF('2965B'!S22=7,'2965B'!T22,"")</f>
        <v/>
      </c>
      <c r="X20" s="94" t="str">
        <f>IF('2965B'!S22=8,'2965B'!T22,"")</f>
        <v/>
      </c>
      <c r="Y20" s="186" t="str">
        <f>IF(OR('2965B'!S22=2,'2965B'!S22=3,'2965B'!S22=4,'2965B'!S22=5),"ü","")</f>
        <v/>
      </c>
      <c r="Z20" s="187" t="str">
        <f>IF('2965B'!P22=TRUE,"ü","")</f>
        <v/>
      </c>
      <c r="AA20" s="188" t="str">
        <f>IFERROR(VLOOKUP('2965B'!Q22,Pilots[[SN Last 3]:[Pilot]],2,FALSE),"")</f>
        <v/>
      </c>
      <c r="AB20" s="189" t="str">
        <f>IF('2965B'!$G$5=B20,"Max",IF('2965B'!$G$5=B19,"Lchs",""))</f>
        <v/>
      </c>
    </row>
    <row r="21" spans="2:28" ht="25.5" customHeight="1" thickTop="1" thickBot="1">
      <c r="B21" s="180">
        <v>14</v>
      </c>
      <c r="C21" s="181">
        <f>'2965B'!B23</f>
        <v>0</v>
      </c>
      <c r="D21" s="309">
        <f>'2965B'!C23</f>
        <v>0</v>
      </c>
      <c r="E21" s="310"/>
      <c r="F21" s="182">
        <f>'2965B'!D23</f>
        <v>0</v>
      </c>
      <c r="G21" s="183">
        <f>'2965B'!E23</f>
        <v>0</v>
      </c>
      <c r="H21" s="184">
        <f>'2965B'!F23</f>
        <v>0</v>
      </c>
      <c r="I21" s="91" t="str">
        <f>'2965B'!G23</f>
        <v/>
      </c>
      <c r="J21" s="92" t="str">
        <f>'2965B'!H23</f>
        <v/>
      </c>
      <c r="K21" s="94" t="str">
        <f>'2965B'!I23</f>
        <v/>
      </c>
      <c r="L21" s="185" t="str">
        <f>'2965B'!N23</f>
        <v/>
      </c>
      <c r="M21" s="91" t="str">
        <f>'2965B'!K23</f>
        <v/>
      </c>
      <c r="N21" s="94" t="str">
        <f>'2965B'!J23</f>
        <v/>
      </c>
      <c r="O21" s="186" t="str">
        <f>IF('2965B'!L23=TRUE,"ü","")</f>
        <v/>
      </c>
      <c r="P21" s="93" t="str">
        <f>IF('2965B'!M23=TRUE,"ü","")</f>
        <v/>
      </c>
      <c r="Q21" s="91" t="str">
        <f>IF('2965B'!S23=1,'2965B'!T23,"")</f>
        <v/>
      </c>
      <c r="R21" s="92" t="str">
        <f>IF('2965B'!S23=2,'2965B'!T23,"")</f>
        <v/>
      </c>
      <c r="S21" s="92" t="str">
        <f>IF('2965B'!S23=3,'2965B'!T23,"")</f>
        <v/>
      </c>
      <c r="T21" s="92" t="str">
        <f>IF('2965B'!S23=4,'2965B'!T23,"")</f>
        <v/>
      </c>
      <c r="U21" s="92" t="str">
        <f>IF('2965B'!S23=5,'2965B'!T23,"")</f>
        <v/>
      </c>
      <c r="V21" s="92" t="str">
        <f>IF('2965B'!S23=6,'2965B'!T23,"")</f>
        <v/>
      </c>
      <c r="W21" s="92" t="str">
        <f>IF('2965B'!S23=7,'2965B'!T23,"")</f>
        <v/>
      </c>
      <c r="X21" s="94" t="str">
        <f>IF('2965B'!S23=8,'2965B'!T23,"")</f>
        <v/>
      </c>
      <c r="Y21" s="186" t="str">
        <f>IF(OR('2965B'!S23=2,'2965B'!S23=3,'2965B'!S23=4,'2965B'!S23=5),"ü","")</f>
        <v/>
      </c>
      <c r="Z21" s="187" t="str">
        <f>IF('2965B'!P23=TRUE,"ü","")</f>
        <v/>
      </c>
      <c r="AA21" s="188" t="str">
        <f>IFERROR(VLOOKUP('2965B'!Q23,Pilots[[SN Last 3]:[Pilot]],2,FALSE),"")</f>
        <v/>
      </c>
      <c r="AB21" s="189" t="str">
        <f>IF('2965B'!$G$5=B21,"Max",IF('2965B'!$G$5=B20,"Lchs",""))</f>
        <v/>
      </c>
    </row>
    <row r="22" spans="2:28" ht="25.5" customHeight="1" thickTop="1" thickBot="1">
      <c r="B22" s="180">
        <v>15</v>
      </c>
      <c r="C22" s="181">
        <f>'2965B'!B24</f>
        <v>0</v>
      </c>
      <c r="D22" s="309">
        <f>'2965B'!C24</f>
        <v>0</v>
      </c>
      <c r="E22" s="310"/>
      <c r="F22" s="182">
        <f>'2965B'!D24</f>
        <v>0</v>
      </c>
      <c r="G22" s="183">
        <f>'2965B'!E24</f>
        <v>0</v>
      </c>
      <c r="H22" s="184">
        <f>'2965B'!F24</f>
        <v>0</v>
      </c>
      <c r="I22" s="91" t="str">
        <f>'2965B'!G24</f>
        <v/>
      </c>
      <c r="J22" s="92" t="str">
        <f>'2965B'!H24</f>
        <v/>
      </c>
      <c r="K22" s="94" t="str">
        <f>'2965B'!I24</f>
        <v/>
      </c>
      <c r="L22" s="185" t="str">
        <f>'2965B'!N24</f>
        <v/>
      </c>
      <c r="M22" s="91" t="str">
        <f>'2965B'!K24</f>
        <v/>
      </c>
      <c r="N22" s="94" t="str">
        <f>'2965B'!J24</f>
        <v/>
      </c>
      <c r="O22" s="186" t="str">
        <f>IF('2965B'!L24=TRUE,"ü","")</f>
        <v/>
      </c>
      <c r="P22" s="93" t="str">
        <f>IF('2965B'!M24=TRUE,"ü","")</f>
        <v/>
      </c>
      <c r="Q22" s="91" t="str">
        <f>IF('2965B'!S24=1,'2965B'!T24,"")</f>
        <v/>
      </c>
      <c r="R22" s="92" t="str">
        <f>IF('2965B'!S24=2,'2965B'!T24,"")</f>
        <v/>
      </c>
      <c r="S22" s="92" t="str">
        <f>IF('2965B'!S24=3,'2965B'!T24,"")</f>
        <v/>
      </c>
      <c r="T22" s="92" t="str">
        <f>IF('2965B'!S24=4,'2965B'!T24,"")</f>
        <v/>
      </c>
      <c r="U22" s="92" t="str">
        <f>IF('2965B'!S24=5,'2965B'!T24,"")</f>
        <v/>
      </c>
      <c r="V22" s="92" t="str">
        <f>IF('2965B'!S24=6,'2965B'!T24,"")</f>
        <v/>
      </c>
      <c r="W22" s="92" t="str">
        <f>IF('2965B'!S24=7,'2965B'!T24,"")</f>
        <v/>
      </c>
      <c r="X22" s="94" t="str">
        <f>IF('2965B'!S24=8,'2965B'!T24,"")</f>
        <v/>
      </c>
      <c r="Y22" s="186" t="str">
        <f>IF(OR('2965B'!S24=2,'2965B'!S24=3,'2965B'!S24=4,'2965B'!S24=5),"ü","")</f>
        <v/>
      </c>
      <c r="Z22" s="187" t="str">
        <f>IF('2965B'!P24=TRUE,"ü","")</f>
        <v/>
      </c>
      <c r="AA22" s="188" t="str">
        <f>IFERROR(VLOOKUP('2965B'!Q24,Pilots[[SN Last 3]:[Pilot]],2,FALSE),"")</f>
        <v/>
      </c>
      <c r="AB22" s="189" t="str">
        <f>IF('2965B'!$G$5=B22,"Max",IF('2965B'!$G$5=B21,"Lchs",""))</f>
        <v/>
      </c>
    </row>
    <row r="23" spans="2:28" ht="25.5" customHeight="1" thickTop="1" thickBot="1">
      <c r="B23" s="180">
        <v>16</v>
      </c>
      <c r="C23" s="181">
        <f>'2965B'!B25</f>
        <v>0</v>
      </c>
      <c r="D23" s="309">
        <f>'2965B'!C25</f>
        <v>0</v>
      </c>
      <c r="E23" s="310"/>
      <c r="F23" s="182">
        <f>'2965B'!D25</f>
        <v>0</v>
      </c>
      <c r="G23" s="183">
        <f>'2965B'!E25</f>
        <v>0</v>
      </c>
      <c r="H23" s="184">
        <f>'2965B'!F25</f>
        <v>0</v>
      </c>
      <c r="I23" s="91" t="str">
        <f>'2965B'!G25</f>
        <v/>
      </c>
      <c r="J23" s="92" t="str">
        <f>'2965B'!H25</f>
        <v/>
      </c>
      <c r="K23" s="94" t="str">
        <f>'2965B'!I25</f>
        <v/>
      </c>
      <c r="L23" s="185" t="str">
        <f>'2965B'!N25</f>
        <v/>
      </c>
      <c r="M23" s="91" t="str">
        <f>'2965B'!K25</f>
        <v/>
      </c>
      <c r="N23" s="94" t="str">
        <f>'2965B'!J25</f>
        <v/>
      </c>
      <c r="O23" s="186" t="str">
        <f>IF('2965B'!L25=TRUE,"ü","")</f>
        <v/>
      </c>
      <c r="P23" s="93" t="str">
        <f>IF('2965B'!M25=TRUE,"ü","")</f>
        <v/>
      </c>
      <c r="Q23" s="91" t="str">
        <f>IF('2965B'!S25=1,'2965B'!T25,"")</f>
        <v/>
      </c>
      <c r="R23" s="92" t="str">
        <f>IF('2965B'!S25=2,'2965B'!T25,"")</f>
        <v/>
      </c>
      <c r="S23" s="92" t="str">
        <f>IF('2965B'!S25=3,'2965B'!T25,"")</f>
        <v/>
      </c>
      <c r="T23" s="92" t="str">
        <f>IF('2965B'!S25=4,'2965B'!T25,"")</f>
        <v/>
      </c>
      <c r="U23" s="92" t="str">
        <f>IF('2965B'!S25=5,'2965B'!T25,"")</f>
        <v/>
      </c>
      <c r="V23" s="92" t="str">
        <f>IF('2965B'!S25=6,'2965B'!T25,"")</f>
        <v/>
      </c>
      <c r="W23" s="92" t="str">
        <f>IF('2965B'!S25=7,'2965B'!T25,"")</f>
        <v/>
      </c>
      <c r="X23" s="94" t="str">
        <f>IF('2965B'!S25=8,'2965B'!T25,"")</f>
        <v/>
      </c>
      <c r="Y23" s="186" t="str">
        <f>IF(OR('2965B'!S25=2,'2965B'!S25=3,'2965B'!S25=4,'2965B'!S25=5),"ü","")</f>
        <v/>
      </c>
      <c r="Z23" s="187" t="str">
        <f>IF('2965B'!P25=TRUE,"ü","")</f>
        <v/>
      </c>
      <c r="AA23" s="188" t="str">
        <f>IFERROR(VLOOKUP('2965B'!Q25,Pilots[[SN Last 3]:[Pilot]],2,FALSE),"")</f>
        <v/>
      </c>
      <c r="AB23" s="189" t="str">
        <f>IF('2965B'!$G$5=B23,"Max",IF('2965B'!$G$5=B22,"Lchs",""))</f>
        <v/>
      </c>
    </row>
    <row r="24" spans="2:28" ht="25.5" customHeight="1" thickTop="1" thickBot="1">
      <c r="B24" s="180">
        <v>17</v>
      </c>
      <c r="C24" s="181">
        <f>'2965B'!B26</f>
        <v>0</v>
      </c>
      <c r="D24" s="309">
        <f>'2965B'!C26</f>
        <v>0</v>
      </c>
      <c r="E24" s="310"/>
      <c r="F24" s="182">
        <f>'2965B'!D26</f>
        <v>0</v>
      </c>
      <c r="G24" s="183">
        <f>'2965B'!E26</f>
        <v>0</v>
      </c>
      <c r="H24" s="184">
        <f>'2965B'!F26</f>
        <v>0</v>
      </c>
      <c r="I24" s="91" t="str">
        <f>'2965B'!G26</f>
        <v/>
      </c>
      <c r="J24" s="92" t="str">
        <f>'2965B'!H26</f>
        <v/>
      </c>
      <c r="K24" s="94" t="str">
        <f>'2965B'!I26</f>
        <v/>
      </c>
      <c r="L24" s="185" t="str">
        <f>'2965B'!N26</f>
        <v/>
      </c>
      <c r="M24" s="91" t="str">
        <f>'2965B'!K26</f>
        <v/>
      </c>
      <c r="N24" s="94" t="str">
        <f>'2965B'!J26</f>
        <v/>
      </c>
      <c r="O24" s="186" t="str">
        <f>IF('2965B'!L26=TRUE,"ü","")</f>
        <v/>
      </c>
      <c r="P24" s="93" t="str">
        <f>IF('2965B'!M26=TRUE,"ü","")</f>
        <v/>
      </c>
      <c r="Q24" s="91" t="str">
        <f>IF('2965B'!S26=1,'2965B'!T26,"")</f>
        <v/>
      </c>
      <c r="R24" s="92" t="str">
        <f>IF('2965B'!S26=2,'2965B'!T26,"")</f>
        <v/>
      </c>
      <c r="S24" s="92" t="str">
        <f>IF('2965B'!S26=3,'2965B'!T26,"")</f>
        <v/>
      </c>
      <c r="T24" s="92" t="str">
        <f>IF('2965B'!S26=4,'2965B'!T26,"")</f>
        <v/>
      </c>
      <c r="U24" s="92" t="str">
        <f>IF('2965B'!S26=5,'2965B'!T26,"")</f>
        <v/>
      </c>
      <c r="V24" s="92" t="str">
        <f>IF('2965B'!S26=6,'2965B'!T26,"")</f>
        <v/>
      </c>
      <c r="W24" s="92" t="str">
        <f>IF('2965B'!S26=7,'2965B'!T26,"")</f>
        <v/>
      </c>
      <c r="X24" s="94" t="str">
        <f>IF('2965B'!S26=8,'2965B'!T26,"")</f>
        <v/>
      </c>
      <c r="Y24" s="186" t="str">
        <f>IF(OR('2965B'!S26=2,'2965B'!S26=3,'2965B'!S26=4,'2965B'!S26=5),"ü","")</f>
        <v/>
      </c>
      <c r="Z24" s="187" t="str">
        <f>IF('2965B'!P26=TRUE,"ü","")</f>
        <v/>
      </c>
      <c r="AA24" s="188" t="str">
        <f>IFERROR(VLOOKUP('2965B'!Q26,Pilots[[SN Last 3]:[Pilot]],2,FALSE),"")</f>
        <v/>
      </c>
      <c r="AB24" s="189" t="str">
        <f>IF('2965B'!$G$5=B24,"Max",IF('2965B'!$G$5=B23,"Lchs",""))</f>
        <v/>
      </c>
    </row>
    <row r="25" spans="2:28" ht="25.5" customHeight="1" thickTop="1" thickBot="1">
      <c r="B25" s="199">
        <v>18</v>
      </c>
      <c r="C25" s="204">
        <f>'2965B'!B27</f>
        <v>0</v>
      </c>
      <c r="D25" s="325">
        <f>'2965B'!C27</f>
        <v>0</v>
      </c>
      <c r="E25" s="326"/>
      <c r="F25" s="205">
        <f>'2965B'!D27</f>
        <v>0</v>
      </c>
      <c r="G25" s="206">
        <f>'2965B'!E27</f>
        <v>0</v>
      </c>
      <c r="H25" s="207">
        <f>'2965B'!F27</f>
        <v>0</v>
      </c>
      <c r="I25" s="208" t="str">
        <f>'2965B'!G27</f>
        <v/>
      </c>
      <c r="J25" s="209" t="str">
        <f>'2965B'!H27</f>
        <v/>
      </c>
      <c r="K25" s="210" t="str">
        <f>'2965B'!I27</f>
        <v/>
      </c>
      <c r="L25" s="211" t="str">
        <f>'2965B'!N27</f>
        <v/>
      </c>
      <c r="M25" s="208" t="str">
        <f>'2965B'!K27</f>
        <v/>
      </c>
      <c r="N25" s="210" t="str">
        <f>'2965B'!J27</f>
        <v/>
      </c>
      <c r="O25" s="212" t="str">
        <f>IF('2965B'!L27=TRUE,"ü","")</f>
        <v/>
      </c>
      <c r="P25" s="213" t="str">
        <f>IF('2965B'!M27=TRUE,"ü","")</f>
        <v/>
      </c>
      <c r="Q25" s="208" t="str">
        <f>IF('2965B'!S27=1,'2965B'!T27,"")</f>
        <v/>
      </c>
      <c r="R25" s="209" t="str">
        <f>IF('2965B'!S27=2,'2965B'!T27,"")</f>
        <v/>
      </c>
      <c r="S25" s="209" t="str">
        <f>IF('2965B'!S27=3,'2965B'!T27,"")</f>
        <v/>
      </c>
      <c r="T25" s="209" t="str">
        <f>IF('2965B'!S27=4,'2965B'!T27,"")</f>
        <v/>
      </c>
      <c r="U25" s="209" t="str">
        <f>IF('2965B'!S27=5,'2965B'!T27,"")</f>
        <v/>
      </c>
      <c r="V25" s="209" t="str">
        <f>IF('2965B'!S27=6,'2965B'!T27,"")</f>
        <v/>
      </c>
      <c r="W25" s="209" t="str">
        <f>IF('2965B'!S27=7,'2965B'!T27,"")</f>
        <v/>
      </c>
      <c r="X25" s="210" t="str">
        <f>IF('2965B'!S27=8,'2965B'!T27,"")</f>
        <v/>
      </c>
      <c r="Y25" s="212" t="str">
        <f>IF(OR('2965B'!S27=2,'2965B'!S27=3,'2965B'!S27=4,'2965B'!S27=5),"ü","")</f>
        <v/>
      </c>
      <c r="Z25" s="214" t="str">
        <f>IF('2965B'!P27=TRUE,"ü","")</f>
        <v/>
      </c>
      <c r="AA25" s="215" t="str">
        <f>IFERROR(VLOOKUP('2965B'!Q27,Pilots[[SN Last 3]:[Pilot]],2,FALSE),"")</f>
        <v/>
      </c>
      <c r="AB25" s="189" t="str">
        <f>IF('2965B'!$G$5=B25,"Max",IF('2965B'!$G$5=B24,"Lchs",""))</f>
        <v/>
      </c>
    </row>
    <row r="26" spans="2:28" ht="25.5" customHeight="1">
      <c r="B26" s="366" t="s">
        <v>79</v>
      </c>
      <c r="C26" s="368" t="s">
        <v>80</v>
      </c>
      <c r="D26" s="348" t="s">
        <v>81</v>
      </c>
      <c r="E26" s="349"/>
      <c r="F26" s="370" t="s">
        <v>82</v>
      </c>
      <c r="G26" s="372" t="s">
        <v>83</v>
      </c>
      <c r="H26" s="373"/>
      <c r="I26" s="230">
        <f>COUNT(I8:I25)</f>
        <v>2</v>
      </c>
      <c r="J26" s="231">
        <f t="shared" ref="J26:N26" si="0">COUNT(J8:J25)</f>
        <v>0</v>
      </c>
      <c r="K26" s="232">
        <f t="shared" si="0"/>
        <v>0</v>
      </c>
      <c r="L26" s="233">
        <f t="shared" si="0"/>
        <v>1</v>
      </c>
      <c r="M26" s="230">
        <f t="shared" si="0"/>
        <v>0</v>
      </c>
      <c r="N26" s="232">
        <f t="shared" si="0"/>
        <v>2</v>
      </c>
      <c r="O26" s="354"/>
      <c r="P26" s="355"/>
      <c r="Q26" s="230">
        <f>COUNT(Q8:Q25)</f>
        <v>4</v>
      </c>
      <c r="R26" s="231">
        <f t="shared" ref="R26:X26" si="1">COUNT(R8:R25)</f>
        <v>0</v>
      </c>
      <c r="S26" s="231">
        <f t="shared" si="1"/>
        <v>0</v>
      </c>
      <c r="T26" s="231">
        <f t="shared" si="1"/>
        <v>0</v>
      </c>
      <c r="U26" s="231">
        <f t="shared" si="1"/>
        <v>0</v>
      </c>
      <c r="V26" s="231">
        <f t="shared" si="1"/>
        <v>1</v>
      </c>
      <c r="W26" s="231">
        <f t="shared" si="1"/>
        <v>0</v>
      </c>
      <c r="X26" s="232">
        <f t="shared" si="1"/>
        <v>0</v>
      </c>
      <c r="Y26" s="354"/>
      <c r="Z26" s="358"/>
      <c r="AA26" s="359"/>
    </row>
    <row r="27" spans="2:28" ht="25.5" customHeight="1" thickBot="1">
      <c r="B27" s="367"/>
      <c r="C27" s="369"/>
      <c r="D27" s="350"/>
      <c r="E27" s="351"/>
      <c r="F27" s="371"/>
      <c r="G27" s="352" t="s">
        <v>84</v>
      </c>
      <c r="H27" s="353"/>
      <c r="I27" s="201">
        <f>SUM(I8:I25)</f>
        <v>6.9444444444444753E-3</v>
      </c>
      <c r="J27" s="200">
        <f t="shared" ref="J27:N27" si="2">SUM(J8:J25)</f>
        <v>0</v>
      </c>
      <c r="K27" s="202">
        <f t="shared" si="2"/>
        <v>0</v>
      </c>
      <c r="L27" s="234">
        <f t="shared" si="2"/>
        <v>3.4722222222222099E-3</v>
      </c>
      <c r="M27" s="201">
        <f t="shared" si="2"/>
        <v>0</v>
      </c>
      <c r="N27" s="202">
        <f t="shared" si="2"/>
        <v>1.8055555555555547E-2</v>
      </c>
      <c r="O27" s="356"/>
      <c r="P27" s="357"/>
      <c r="Q27" s="201">
        <f>SUM(Q8:Q25)</f>
        <v>1.1111111111111127E-2</v>
      </c>
      <c r="R27" s="200">
        <f t="shared" ref="R27:X27" si="3">SUM(R8:R25)</f>
        <v>0</v>
      </c>
      <c r="S27" s="200">
        <f t="shared" si="3"/>
        <v>0</v>
      </c>
      <c r="T27" s="200">
        <f t="shared" si="3"/>
        <v>0</v>
      </c>
      <c r="U27" s="200">
        <f t="shared" si="3"/>
        <v>0</v>
      </c>
      <c r="V27" s="200">
        <f t="shared" si="3"/>
        <v>1.7361111111111105E-2</v>
      </c>
      <c r="W27" s="200">
        <f t="shared" si="3"/>
        <v>0</v>
      </c>
      <c r="X27" s="202">
        <f t="shared" si="3"/>
        <v>0</v>
      </c>
      <c r="Y27" s="356"/>
      <c r="Z27" s="360"/>
      <c r="AA27" s="361"/>
    </row>
    <row r="28" spans="2:28" ht="22.15" customHeight="1">
      <c r="B28" s="362" t="s">
        <v>85</v>
      </c>
      <c r="C28" s="362"/>
      <c r="D28" s="362"/>
      <c r="E28" s="362"/>
      <c r="F28" s="362"/>
      <c r="G28" s="362"/>
      <c r="H28" s="362"/>
      <c r="I28" s="77"/>
      <c r="J28" s="77"/>
      <c r="K28" s="77"/>
      <c r="L28" s="77"/>
      <c r="M28" s="77"/>
      <c r="N28" s="119"/>
      <c r="O28" s="119"/>
      <c r="P28" s="77"/>
      <c r="Q28" s="77"/>
      <c r="R28" s="77"/>
      <c r="S28" s="77"/>
      <c r="T28" s="77"/>
      <c r="U28" s="77"/>
      <c r="V28" s="77"/>
      <c r="W28" s="77"/>
      <c r="X28" s="23"/>
      <c r="Y28" s="363" t="s">
        <v>86</v>
      </c>
      <c r="Z28" s="364"/>
      <c r="AA28" s="364"/>
    </row>
    <row r="29" spans="2:28" ht="22.15" customHeight="1">
      <c r="B29" s="19"/>
      <c r="C29" s="117"/>
      <c r="D29" s="117"/>
      <c r="E29" s="117"/>
      <c r="F29" s="23"/>
      <c r="G29" s="118"/>
      <c r="H29" s="118"/>
      <c r="I29" s="77"/>
      <c r="J29" s="77"/>
      <c r="K29" s="77"/>
      <c r="L29" s="77"/>
      <c r="M29" s="77"/>
      <c r="N29" s="119"/>
      <c r="O29" s="119"/>
      <c r="P29" s="77"/>
      <c r="Q29" s="77"/>
      <c r="R29" s="77"/>
      <c r="S29" s="77"/>
      <c r="T29" s="77"/>
      <c r="U29" s="77"/>
      <c r="V29" s="77"/>
      <c r="W29" s="77"/>
      <c r="X29" s="23"/>
      <c r="Y29" s="119"/>
      <c r="Z29" s="120"/>
      <c r="AA29" s="95"/>
    </row>
    <row r="30" spans="2:28" ht="66" customHeight="1">
      <c r="B30" s="19"/>
      <c r="C30" s="117"/>
      <c r="D30" s="117"/>
      <c r="E30" s="117"/>
      <c r="F30" s="23"/>
      <c r="G30" s="118"/>
      <c r="H30" s="118"/>
      <c r="I30" s="77"/>
      <c r="J30" s="77"/>
      <c r="K30" s="77"/>
      <c r="L30" s="77"/>
      <c r="M30" s="77"/>
      <c r="N30" s="119"/>
      <c r="O30" s="119"/>
      <c r="P30" s="77"/>
      <c r="Q30" s="77"/>
      <c r="R30" s="77"/>
      <c r="S30" s="77"/>
      <c r="T30" s="77"/>
      <c r="U30" s="77"/>
      <c r="V30" s="77"/>
      <c r="W30" s="77"/>
      <c r="X30" s="23"/>
      <c r="Y30" s="119"/>
      <c r="Z30" s="120"/>
      <c r="AA30" s="95"/>
    </row>
    <row r="31" spans="2:28" ht="34.5" customHeight="1">
      <c r="B31" s="328" t="s">
        <v>87</v>
      </c>
      <c r="C31" s="328"/>
      <c r="D31" s="328"/>
      <c r="E31" s="328"/>
      <c r="F31" s="328"/>
      <c r="G31" s="328"/>
      <c r="H31" s="365" t="s">
        <v>59</v>
      </c>
      <c r="I31" s="365"/>
      <c r="J31" s="341" t="str">
        <f>O2</f>
        <v>ZE495</v>
      </c>
      <c r="K31" s="341"/>
      <c r="L31" s="338" t="s">
        <v>60</v>
      </c>
      <c r="M31" s="338"/>
      <c r="N31" s="338"/>
      <c r="O31" s="338"/>
      <c r="P31" s="25" t="str">
        <f>V2</f>
        <v>VA</v>
      </c>
      <c r="Q31" s="77"/>
      <c r="R31" s="77"/>
      <c r="S31" s="77"/>
      <c r="T31" s="77"/>
      <c r="U31" s="77"/>
      <c r="V31" s="77"/>
      <c r="W31" s="77"/>
      <c r="X31" s="339" t="s">
        <v>61</v>
      </c>
      <c r="Y31" s="340"/>
      <c r="Z31" s="340"/>
      <c r="AA31" s="340"/>
    </row>
    <row r="32" spans="2:28" ht="6.95" customHeight="1" thickBot="1">
      <c r="B32" s="20"/>
      <c r="C32" s="20"/>
      <c r="D32" s="20"/>
      <c r="E32" s="20"/>
      <c r="F32" s="8"/>
      <c r="G32" s="123"/>
      <c r="H32" s="121"/>
      <c r="I32" s="77"/>
      <c r="J32" s="77"/>
      <c r="K32" s="77"/>
      <c r="L32" s="77"/>
      <c r="M32" s="77"/>
      <c r="N32" s="77"/>
      <c r="O32" s="77"/>
      <c r="P32" s="77"/>
      <c r="Q32" s="77"/>
      <c r="R32" s="77"/>
      <c r="S32" s="77"/>
      <c r="T32" s="77"/>
      <c r="U32" s="77"/>
      <c r="V32" s="77"/>
      <c r="W32" s="77"/>
      <c r="X32" s="8"/>
      <c r="Y32" s="8"/>
      <c r="Z32" s="8"/>
      <c r="AA32" s="95"/>
    </row>
    <row r="33" spans="2:28" ht="18" customHeight="1">
      <c r="B33" s="331" t="s">
        <v>62</v>
      </c>
      <c r="C33" s="332"/>
      <c r="D33" s="332"/>
      <c r="E33" s="332"/>
      <c r="F33" s="332"/>
      <c r="G33" s="332"/>
      <c r="H33" s="332"/>
      <c r="I33" s="333"/>
      <c r="J33" s="333"/>
      <c r="K33" s="333"/>
      <c r="L33" s="333"/>
      <c r="M33" s="333"/>
      <c r="N33" s="333"/>
      <c r="O33" s="333"/>
      <c r="P33" s="333"/>
      <c r="Q33" s="333"/>
      <c r="R33" s="333"/>
      <c r="S33" s="333"/>
      <c r="T33" s="333"/>
      <c r="U33" s="333"/>
      <c r="V33" s="333"/>
      <c r="W33" s="333"/>
      <c r="X33" s="333"/>
      <c r="Y33" s="332"/>
      <c r="Z33" s="332"/>
      <c r="AA33" s="334"/>
    </row>
    <row r="34" spans="2:28" ht="12.75" customHeight="1">
      <c r="B34" s="335" t="s">
        <v>63</v>
      </c>
      <c r="C34" s="337" t="s">
        <v>64</v>
      </c>
      <c r="D34" s="337"/>
      <c r="E34" s="337"/>
      <c r="F34" s="342" t="s">
        <v>65</v>
      </c>
      <c r="G34" s="344" t="s">
        <v>66</v>
      </c>
      <c r="H34" s="346" t="s">
        <v>67</v>
      </c>
      <c r="I34" s="322" t="s">
        <v>68</v>
      </c>
      <c r="J34" s="323"/>
      <c r="K34" s="324"/>
      <c r="L34" s="299" t="s">
        <v>69</v>
      </c>
      <c r="M34" s="378" t="s">
        <v>10</v>
      </c>
      <c r="N34" s="303"/>
      <c r="O34" s="303"/>
      <c r="P34" s="304"/>
      <c r="Q34" s="311" t="s">
        <v>70</v>
      </c>
      <c r="R34" s="312"/>
      <c r="S34" s="312"/>
      <c r="T34" s="312"/>
      <c r="U34" s="312"/>
      <c r="V34" s="312"/>
      <c r="W34" s="312"/>
      <c r="X34" s="313"/>
      <c r="Y34" s="315" t="s">
        <v>71</v>
      </c>
      <c r="Z34" s="317" t="s">
        <v>72</v>
      </c>
      <c r="AA34" s="319" t="s">
        <v>73</v>
      </c>
    </row>
    <row r="35" spans="2:28" ht="25.5" customHeight="1">
      <c r="B35" s="335"/>
      <c r="C35" s="337"/>
      <c r="D35" s="337"/>
      <c r="E35" s="337"/>
      <c r="F35" s="342"/>
      <c r="G35" s="344"/>
      <c r="H35" s="346"/>
      <c r="I35" s="322"/>
      <c r="J35" s="323"/>
      <c r="K35" s="324"/>
      <c r="L35" s="299"/>
      <c r="M35" s="305" t="s">
        <v>74</v>
      </c>
      <c r="N35" s="306"/>
      <c r="O35" s="307" t="s">
        <v>75</v>
      </c>
      <c r="P35" s="308"/>
      <c r="Q35" s="314"/>
      <c r="R35" s="312"/>
      <c r="S35" s="312"/>
      <c r="T35" s="312"/>
      <c r="U35" s="312"/>
      <c r="V35" s="312"/>
      <c r="W35" s="312"/>
      <c r="X35" s="313"/>
      <c r="Y35" s="315"/>
      <c r="Z35" s="317"/>
      <c r="AA35" s="320"/>
    </row>
    <row r="36" spans="2:28" ht="39.75" customHeight="1" thickBot="1">
      <c r="B36" s="374"/>
      <c r="C36" s="198" t="s">
        <v>76</v>
      </c>
      <c r="D36" s="382" t="s">
        <v>77</v>
      </c>
      <c r="E36" s="383"/>
      <c r="F36" s="375"/>
      <c r="G36" s="376"/>
      <c r="H36" s="377"/>
      <c r="I36" s="193" t="s">
        <v>17</v>
      </c>
      <c r="J36" s="194" t="s">
        <v>78</v>
      </c>
      <c r="K36" s="195" t="s">
        <v>19</v>
      </c>
      <c r="L36" s="300"/>
      <c r="M36" s="193" t="s">
        <v>21</v>
      </c>
      <c r="N36" s="195" t="s">
        <v>20</v>
      </c>
      <c r="O36" s="196" t="s">
        <v>33</v>
      </c>
      <c r="P36" s="195" t="s">
        <v>34</v>
      </c>
      <c r="Q36" s="191">
        <v>1</v>
      </c>
      <c r="R36" s="192">
        <v>2</v>
      </c>
      <c r="S36" s="192">
        <v>3</v>
      </c>
      <c r="T36" s="192">
        <v>4</v>
      </c>
      <c r="U36" s="192">
        <v>5</v>
      </c>
      <c r="V36" s="192">
        <v>6</v>
      </c>
      <c r="W36" s="192">
        <v>7</v>
      </c>
      <c r="X36" s="197">
        <v>8</v>
      </c>
      <c r="Y36" s="379"/>
      <c r="Z36" s="380"/>
      <c r="AA36" s="381"/>
    </row>
    <row r="37" spans="2:28" ht="25.5" customHeight="1">
      <c r="B37" s="397"/>
      <c r="C37" s="398"/>
      <c r="D37" s="398"/>
      <c r="E37" s="398"/>
      <c r="F37" s="370" t="s">
        <v>88</v>
      </c>
      <c r="G37" s="372" t="s">
        <v>83</v>
      </c>
      <c r="H37" s="373"/>
      <c r="I37" s="230">
        <f>I26</f>
        <v>2</v>
      </c>
      <c r="J37" s="231">
        <f t="shared" ref="J37:N37" si="4">J26</f>
        <v>0</v>
      </c>
      <c r="K37" s="232">
        <f t="shared" si="4"/>
        <v>0</v>
      </c>
      <c r="L37" s="233">
        <f t="shared" si="4"/>
        <v>1</v>
      </c>
      <c r="M37" s="230">
        <f t="shared" si="4"/>
        <v>0</v>
      </c>
      <c r="N37" s="232">
        <f t="shared" si="4"/>
        <v>2</v>
      </c>
      <c r="O37" s="401"/>
      <c r="P37" s="402"/>
      <c r="Q37" s="230">
        <f>Q26</f>
        <v>4</v>
      </c>
      <c r="R37" s="231">
        <f t="shared" ref="R37:X37" si="5">R26</f>
        <v>0</v>
      </c>
      <c r="S37" s="231">
        <f t="shared" si="5"/>
        <v>0</v>
      </c>
      <c r="T37" s="231">
        <f t="shared" si="5"/>
        <v>0</v>
      </c>
      <c r="U37" s="231">
        <f t="shared" si="5"/>
        <v>0</v>
      </c>
      <c r="V37" s="231">
        <f t="shared" si="5"/>
        <v>1</v>
      </c>
      <c r="W37" s="231">
        <f t="shared" si="5"/>
        <v>0</v>
      </c>
      <c r="X37" s="232">
        <f t="shared" si="5"/>
        <v>0</v>
      </c>
      <c r="Y37" s="393"/>
      <c r="Z37" s="393"/>
      <c r="AA37" s="394"/>
    </row>
    <row r="38" spans="2:28" ht="25.5" customHeight="1" thickBot="1">
      <c r="B38" s="399"/>
      <c r="C38" s="400"/>
      <c r="D38" s="400"/>
      <c r="E38" s="400"/>
      <c r="F38" s="371"/>
      <c r="G38" s="352" t="s">
        <v>84</v>
      </c>
      <c r="H38" s="353"/>
      <c r="I38" s="201">
        <f>I27</f>
        <v>6.9444444444444753E-3</v>
      </c>
      <c r="J38" s="200">
        <f t="shared" ref="J38:N38" si="6">J27</f>
        <v>0</v>
      </c>
      <c r="K38" s="202">
        <f t="shared" si="6"/>
        <v>0</v>
      </c>
      <c r="L38" s="234">
        <f t="shared" si="6"/>
        <v>3.4722222222222099E-3</v>
      </c>
      <c r="M38" s="201">
        <f t="shared" si="6"/>
        <v>0</v>
      </c>
      <c r="N38" s="202">
        <f t="shared" si="6"/>
        <v>1.8055555555555547E-2</v>
      </c>
      <c r="O38" s="403"/>
      <c r="P38" s="404"/>
      <c r="Q38" s="201">
        <f t="shared" ref="Q38:X38" si="7">Q27</f>
        <v>1.1111111111111127E-2</v>
      </c>
      <c r="R38" s="200">
        <f t="shared" si="7"/>
        <v>0</v>
      </c>
      <c r="S38" s="200">
        <f t="shared" si="7"/>
        <v>0</v>
      </c>
      <c r="T38" s="200">
        <f t="shared" si="7"/>
        <v>0</v>
      </c>
      <c r="U38" s="200">
        <f t="shared" si="7"/>
        <v>0</v>
      </c>
      <c r="V38" s="200">
        <f t="shared" si="7"/>
        <v>1.7361111111111105E-2</v>
      </c>
      <c r="W38" s="200">
        <f t="shared" si="7"/>
        <v>0</v>
      </c>
      <c r="X38" s="202">
        <f t="shared" si="7"/>
        <v>0</v>
      </c>
      <c r="Y38" s="395"/>
      <c r="Z38" s="395"/>
      <c r="AA38" s="396"/>
    </row>
    <row r="39" spans="2:28" ht="25.5" customHeight="1" thickBot="1">
      <c r="B39" s="180">
        <v>19</v>
      </c>
      <c r="C39" s="181">
        <f>'2965B'!B28</f>
        <v>0</v>
      </c>
      <c r="D39" s="309">
        <f>'2965B'!C28</f>
        <v>0</v>
      </c>
      <c r="E39" s="310"/>
      <c r="F39" s="182">
        <f>'2965B'!D28</f>
        <v>0</v>
      </c>
      <c r="G39" s="183">
        <f>'2965B'!E28</f>
        <v>0</v>
      </c>
      <c r="H39" s="184">
        <f>'2965B'!F28</f>
        <v>0</v>
      </c>
      <c r="I39" s="91" t="str">
        <f>'2965B'!G28</f>
        <v/>
      </c>
      <c r="J39" s="92" t="str">
        <f>'2965B'!H28</f>
        <v/>
      </c>
      <c r="K39" s="94" t="str">
        <f>'2965B'!I28</f>
        <v/>
      </c>
      <c r="L39" s="185" t="str">
        <f>'2965B'!N28</f>
        <v/>
      </c>
      <c r="M39" s="91" t="str">
        <f>'2965B'!K28</f>
        <v/>
      </c>
      <c r="N39" s="94" t="str">
        <f>'2965B'!J28</f>
        <v/>
      </c>
      <c r="O39" s="186" t="str">
        <f>IF('2965B'!L28=TRUE,"ü","")</f>
        <v/>
      </c>
      <c r="P39" s="216" t="str">
        <f>IF('2965B'!M28=TRUE,"ü","")</f>
        <v/>
      </c>
      <c r="Q39" s="91" t="str">
        <f>IF('2965B'!$S28=1,'2965B'!$T28,"")</f>
        <v/>
      </c>
      <c r="R39" s="92" t="str">
        <f>IF('2965B'!$S28=2,'2965B'!$T28,"")</f>
        <v/>
      </c>
      <c r="S39" s="92" t="str">
        <f>IF('2965B'!$S28=3,'2965B'!$T28,"")</f>
        <v/>
      </c>
      <c r="T39" s="92" t="str">
        <f>IF('2965B'!$S28=4,'2965B'!$T28,"")</f>
        <v/>
      </c>
      <c r="U39" s="92" t="str">
        <f>IF('2965B'!$S28=5,'2965B'!$T28,"")</f>
        <v/>
      </c>
      <c r="V39" s="92" t="str">
        <f>IF('2965B'!$S28=6,'2965B'!$T28,"")</f>
        <v/>
      </c>
      <c r="W39" s="92" t="str">
        <f>IF('2965B'!$S28=7,'2965B'!$T28,"")</f>
        <v/>
      </c>
      <c r="X39" s="94" t="str">
        <f>IF('2965B'!$S28=8,'2965B'!$T28,"")</f>
        <v/>
      </c>
      <c r="Y39" s="187" t="str">
        <f>IF(OR('2965B'!S28=2,'2965B'!S28=3,'2965B'!S28=4,'2965B'!S28=5),"ü","")</f>
        <v/>
      </c>
      <c r="Z39" s="187" t="str">
        <f>IF('2965B'!P28=TRUE,"ü","")</f>
        <v/>
      </c>
      <c r="AA39" s="188" t="str">
        <f>IFERROR(VLOOKUP('2965B'!Q28,Pilots[[SN Last 3]:[Pilot]],2,FALSE),"")</f>
        <v/>
      </c>
      <c r="AB39" s="189" t="str">
        <f>IF('2965B'!$G$5=B39,"Max","")</f>
        <v/>
      </c>
    </row>
    <row r="40" spans="2:28" ht="25.5" customHeight="1" thickTop="1" thickBot="1">
      <c r="B40" s="217">
        <v>20</v>
      </c>
      <c r="C40" s="218">
        <f>'2965B'!B29</f>
        <v>0</v>
      </c>
      <c r="D40" s="391">
        <f>'2965B'!C29</f>
        <v>0</v>
      </c>
      <c r="E40" s="392"/>
      <c r="F40" s="219">
        <f>'2965B'!D29</f>
        <v>0</v>
      </c>
      <c r="G40" s="220">
        <f>'2965B'!E29</f>
        <v>0</v>
      </c>
      <c r="H40" s="221">
        <f>'2965B'!F29</f>
        <v>0</v>
      </c>
      <c r="I40" s="222" t="str">
        <f>'2965B'!G29</f>
        <v/>
      </c>
      <c r="J40" s="223" t="str">
        <f>'2965B'!H29</f>
        <v/>
      </c>
      <c r="K40" s="224" t="str">
        <f>'2965B'!I29</f>
        <v/>
      </c>
      <c r="L40" s="225" t="str">
        <f>'2965B'!N29</f>
        <v/>
      </c>
      <c r="M40" s="222" t="str">
        <f>'2965B'!K29</f>
        <v/>
      </c>
      <c r="N40" s="224" t="str">
        <f>'2965B'!J29</f>
        <v/>
      </c>
      <c r="O40" s="226" t="str">
        <f>IF('2965B'!L29=TRUE,"ü","")</f>
        <v/>
      </c>
      <c r="P40" s="227" t="str">
        <f>IF('2965B'!M29=TRUE,"ü","")</f>
        <v/>
      </c>
      <c r="Q40" s="222" t="str">
        <f>IF('2965B'!$S29=1,'2965B'!$T29,"")</f>
        <v/>
      </c>
      <c r="R40" s="223" t="str">
        <f>IF('2965B'!$S29=2,'2965B'!$T29,"")</f>
        <v/>
      </c>
      <c r="S40" s="223" t="str">
        <f>IF('2965B'!$S29=3,'2965B'!$T29,"")</f>
        <v/>
      </c>
      <c r="T40" s="223" t="str">
        <f>IF('2965B'!$S29=4,'2965B'!$T29,"")</f>
        <v/>
      </c>
      <c r="U40" s="223" t="str">
        <f>IF('2965B'!$S29=5,'2965B'!$T29,"")</f>
        <v/>
      </c>
      <c r="V40" s="223" t="str">
        <f>IF('2965B'!$S29=6,'2965B'!$T29,"")</f>
        <v/>
      </c>
      <c r="W40" s="223" t="str">
        <f>IF('2965B'!$S29=7,'2965B'!$T29,"")</f>
        <v/>
      </c>
      <c r="X40" s="224" t="str">
        <f>IF('2965B'!$S29=8,'2965B'!$T29,"")</f>
        <v/>
      </c>
      <c r="Y40" s="228" t="str">
        <f>IF(OR('2965B'!S29=2,'2965B'!S29=3,'2965B'!S29=4,'2965B'!S29=5),"ü","")</f>
        <v/>
      </c>
      <c r="Z40" s="228" t="str">
        <f>IF('2965B'!P29=TRUE,"ü","")</f>
        <v/>
      </c>
      <c r="AA40" s="229" t="str">
        <f>IFERROR(VLOOKUP('2965B'!Q29,Pilots[[SN Last 3]:[Pilot]],2,FALSE),"")</f>
        <v/>
      </c>
      <c r="AB40" s="189" t="str">
        <f>IF('2965B'!$G$5=B40,"Max",IF('2965B'!$G$5=B39,"Lchs",""))</f>
        <v/>
      </c>
    </row>
    <row r="41" spans="2:28" ht="25.5" customHeight="1" thickTop="1" thickBot="1">
      <c r="B41" s="217">
        <v>21</v>
      </c>
      <c r="C41" s="218">
        <f>'2965B'!B30</f>
        <v>0</v>
      </c>
      <c r="D41" s="391">
        <f>'2965B'!C30</f>
        <v>0</v>
      </c>
      <c r="E41" s="392"/>
      <c r="F41" s="219">
        <f>'2965B'!D30</f>
        <v>0</v>
      </c>
      <c r="G41" s="220">
        <f>'2965B'!E30</f>
        <v>0</v>
      </c>
      <c r="H41" s="221">
        <f>'2965B'!F30</f>
        <v>0</v>
      </c>
      <c r="I41" s="222" t="str">
        <f>'2965B'!G30</f>
        <v/>
      </c>
      <c r="J41" s="223" t="str">
        <f>'2965B'!H30</f>
        <v/>
      </c>
      <c r="K41" s="224" t="str">
        <f>'2965B'!I30</f>
        <v/>
      </c>
      <c r="L41" s="225" t="str">
        <f>'2965B'!N30</f>
        <v/>
      </c>
      <c r="M41" s="222" t="str">
        <f>'2965B'!K30</f>
        <v/>
      </c>
      <c r="N41" s="224" t="str">
        <f>'2965B'!J30</f>
        <v/>
      </c>
      <c r="O41" s="226" t="str">
        <f>IF('2965B'!L30=TRUE,"ü","")</f>
        <v/>
      </c>
      <c r="P41" s="227" t="str">
        <f>IF('2965B'!M30=TRUE,"ü","")</f>
        <v/>
      </c>
      <c r="Q41" s="222" t="str">
        <f>IF('2965B'!$S30=1,'2965B'!$T30,"")</f>
        <v/>
      </c>
      <c r="R41" s="223" t="str">
        <f>IF('2965B'!$S30=2,'2965B'!$T30,"")</f>
        <v/>
      </c>
      <c r="S41" s="223" t="str">
        <f>IF('2965B'!$S30=3,'2965B'!$T30,"")</f>
        <v/>
      </c>
      <c r="T41" s="223" t="str">
        <f>IF('2965B'!$S30=4,'2965B'!$T30,"")</f>
        <v/>
      </c>
      <c r="U41" s="223" t="str">
        <f>IF('2965B'!$S30=5,'2965B'!$T30,"")</f>
        <v/>
      </c>
      <c r="V41" s="223" t="str">
        <f>IF('2965B'!$S30=6,'2965B'!$T30,"")</f>
        <v/>
      </c>
      <c r="W41" s="223" t="str">
        <f>IF('2965B'!$S30=7,'2965B'!$T30,"")</f>
        <v/>
      </c>
      <c r="X41" s="224" t="str">
        <f>IF('2965B'!$S30=8,'2965B'!$T30,"")</f>
        <v/>
      </c>
      <c r="Y41" s="228" t="str">
        <f>IF(OR('2965B'!S30=2,'2965B'!S30=3,'2965B'!S30=4,'2965B'!S30=5),"ü","")</f>
        <v/>
      </c>
      <c r="Z41" s="228" t="str">
        <f>IF('2965B'!P30=TRUE,"ü","")</f>
        <v/>
      </c>
      <c r="AA41" s="229" t="str">
        <f>IFERROR(VLOOKUP('2965B'!Q30,Pilots[[SN Last 3]:[Pilot]],2,FALSE),"")</f>
        <v/>
      </c>
      <c r="AB41" s="189" t="str">
        <f>IF('2965B'!$G$5=B41,"Max",IF('2965B'!$G$5=B40,"Lchs",""))</f>
        <v/>
      </c>
    </row>
    <row r="42" spans="2:28" ht="25.5" customHeight="1" thickTop="1" thickBot="1">
      <c r="B42" s="217">
        <v>22</v>
      </c>
      <c r="C42" s="218">
        <f>'2965B'!B31</f>
        <v>0</v>
      </c>
      <c r="D42" s="391">
        <f>'2965B'!C31</f>
        <v>0</v>
      </c>
      <c r="E42" s="392"/>
      <c r="F42" s="219">
        <f>'2965B'!D31</f>
        <v>0</v>
      </c>
      <c r="G42" s="220">
        <f>'2965B'!E31</f>
        <v>0</v>
      </c>
      <c r="H42" s="221">
        <f>'2965B'!F31</f>
        <v>0</v>
      </c>
      <c r="I42" s="222" t="str">
        <f>'2965B'!G31</f>
        <v/>
      </c>
      <c r="J42" s="223" t="str">
        <f>'2965B'!H31</f>
        <v/>
      </c>
      <c r="K42" s="224" t="str">
        <f>'2965B'!I31</f>
        <v/>
      </c>
      <c r="L42" s="225" t="str">
        <f>'2965B'!N31</f>
        <v/>
      </c>
      <c r="M42" s="222" t="str">
        <f>'2965B'!K31</f>
        <v/>
      </c>
      <c r="N42" s="224" t="str">
        <f>'2965B'!J31</f>
        <v/>
      </c>
      <c r="O42" s="226" t="str">
        <f>IF('2965B'!L31=TRUE,"ü","")</f>
        <v/>
      </c>
      <c r="P42" s="227" t="str">
        <f>IF('2965B'!M31=TRUE,"ü","")</f>
        <v/>
      </c>
      <c r="Q42" s="222" t="str">
        <f>IF('2965B'!$S31=1,'2965B'!$T31,"")</f>
        <v/>
      </c>
      <c r="R42" s="223" t="str">
        <f>IF('2965B'!$S31=2,'2965B'!$T31,"")</f>
        <v/>
      </c>
      <c r="S42" s="223" t="str">
        <f>IF('2965B'!$S31=3,'2965B'!$T31,"")</f>
        <v/>
      </c>
      <c r="T42" s="223" t="str">
        <f>IF('2965B'!$S31=4,'2965B'!$T31,"")</f>
        <v/>
      </c>
      <c r="U42" s="223" t="str">
        <f>IF('2965B'!$S31=5,'2965B'!$T31,"")</f>
        <v/>
      </c>
      <c r="V42" s="223" t="str">
        <f>IF('2965B'!$S31=6,'2965B'!$T31,"")</f>
        <v/>
      </c>
      <c r="W42" s="223" t="str">
        <f>IF('2965B'!$S31=7,'2965B'!$T31,"")</f>
        <v/>
      </c>
      <c r="X42" s="224" t="str">
        <f>IF('2965B'!$S31=8,'2965B'!$T31,"")</f>
        <v/>
      </c>
      <c r="Y42" s="228" t="str">
        <f>IF(OR('2965B'!S31=2,'2965B'!S31=3,'2965B'!S31=4,'2965B'!S31=5),"ü","")</f>
        <v/>
      </c>
      <c r="Z42" s="228" t="str">
        <f>IF('2965B'!P31=TRUE,"ü","")</f>
        <v/>
      </c>
      <c r="AA42" s="229" t="str">
        <f>IFERROR(VLOOKUP('2965B'!Q31,Pilots[[SN Last 3]:[Pilot]],2,FALSE),"")</f>
        <v/>
      </c>
      <c r="AB42" s="189" t="str">
        <f>IF('2965B'!$G$5=B42,"Max",IF('2965B'!$G$5=B41,"Lchs",""))</f>
        <v/>
      </c>
    </row>
    <row r="43" spans="2:28" ht="25.5" customHeight="1" thickTop="1" thickBot="1">
      <c r="B43" s="217">
        <v>23</v>
      </c>
      <c r="C43" s="218">
        <f>'2965B'!B32</f>
        <v>0</v>
      </c>
      <c r="D43" s="391">
        <f>'2965B'!C32</f>
        <v>0</v>
      </c>
      <c r="E43" s="392"/>
      <c r="F43" s="219">
        <f>'2965B'!D32</f>
        <v>0</v>
      </c>
      <c r="G43" s="220">
        <f>'2965B'!E32</f>
        <v>0</v>
      </c>
      <c r="H43" s="221">
        <f>'2965B'!F32</f>
        <v>0</v>
      </c>
      <c r="I43" s="222" t="str">
        <f>'2965B'!G32</f>
        <v/>
      </c>
      <c r="J43" s="223" t="str">
        <f>'2965B'!H32</f>
        <v/>
      </c>
      <c r="K43" s="224" t="str">
        <f>'2965B'!I32</f>
        <v/>
      </c>
      <c r="L43" s="225" t="str">
        <f>'2965B'!N32</f>
        <v/>
      </c>
      <c r="M43" s="222" t="str">
        <f>'2965B'!K32</f>
        <v/>
      </c>
      <c r="N43" s="224" t="str">
        <f>'2965B'!J32</f>
        <v/>
      </c>
      <c r="O43" s="226" t="str">
        <f>IF('2965B'!L32=TRUE,"ü","")</f>
        <v/>
      </c>
      <c r="P43" s="227" t="str">
        <f>IF('2965B'!M32=TRUE,"ü","")</f>
        <v/>
      </c>
      <c r="Q43" s="222" t="str">
        <f>IF('2965B'!$S32=1,'2965B'!$T32,"")</f>
        <v/>
      </c>
      <c r="R43" s="223" t="str">
        <f>IF('2965B'!$S32=2,'2965B'!$T32,"")</f>
        <v/>
      </c>
      <c r="S43" s="223" t="str">
        <f>IF('2965B'!$S32=3,'2965B'!$T32,"")</f>
        <v/>
      </c>
      <c r="T43" s="223" t="str">
        <f>IF('2965B'!$S32=4,'2965B'!$T32,"")</f>
        <v/>
      </c>
      <c r="U43" s="223" t="str">
        <f>IF('2965B'!$S32=5,'2965B'!$T32,"")</f>
        <v/>
      </c>
      <c r="V43" s="223" t="str">
        <f>IF('2965B'!$S32=6,'2965B'!$T32,"")</f>
        <v/>
      </c>
      <c r="W43" s="223" t="str">
        <f>IF('2965B'!$S32=7,'2965B'!$T32,"")</f>
        <v/>
      </c>
      <c r="X43" s="224" t="str">
        <f>IF('2965B'!$S32=8,'2965B'!$T32,"")</f>
        <v/>
      </c>
      <c r="Y43" s="228" t="str">
        <f>IF(OR('2965B'!S32=2,'2965B'!S32=3,'2965B'!S32=4,'2965B'!S32=5),"ü","")</f>
        <v/>
      </c>
      <c r="Z43" s="228" t="str">
        <f>IF('2965B'!P32=TRUE,"ü","")</f>
        <v/>
      </c>
      <c r="AA43" s="229" t="str">
        <f>IFERROR(VLOOKUP('2965B'!Q32,Pilots[[SN Last 3]:[Pilot]],2,FALSE),"")</f>
        <v/>
      </c>
      <c r="AB43" s="189" t="str">
        <f>IF('2965B'!$G$5=B43,"Max",IF('2965B'!$G$5=B42,"Lchs",""))</f>
        <v/>
      </c>
    </row>
    <row r="44" spans="2:28" ht="25.5" customHeight="1" thickTop="1" thickBot="1">
      <c r="B44" s="217">
        <v>24</v>
      </c>
      <c r="C44" s="218">
        <f>'2965B'!B33</f>
        <v>0</v>
      </c>
      <c r="D44" s="391">
        <f>'2965B'!C33</f>
        <v>0</v>
      </c>
      <c r="E44" s="392"/>
      <c r="F44" s="219">
        <f>'2965B'!D33</f>
        <v>0</v>
      </c>
      <c r="G44" s="220">
        <f>'2965B'!E33</f>
        <v>0</v>
      </c>
      <c r="H44" s="221">
        <f>'2965B'!F33</f>
        <v>0</v>
      </c>
      <c r="I44" s="222" t="str">
        <f>'2965B'!G33</f>
        <v/>
      </c>
      <c r="J44" s="223" t="str">
        <f>'2965B'!H33</f>
        <v/>
      </c>
      <c r="K44" s="224" t="str">
        <f>'2965B'!I33</f>
        <v/>
      </c>
      <c r="L44" s="225" t="str">
        <f>'2965B'!N33</f>
        <v/>
      </c>
      <c r="M44" s="222" t="str">
        <f>'2965B'!K33</f>
        <v/>
      </c>
      <c r="N44" s="224" t="str">
        <f>'2965B'!J33</f>
        <v/>
      </c>
      <c r="O44" s="226" t="str">
        <f>IF('2965B'!L33=TRUE,"ü","")</f>
        <v/>
      </c>
      <c r="P44" s="227" t="str">
        <f>IF('2965B'!M33=TRUE,"ü","")</f>
        <v/>
      </c>
      <c r="Q44" s="222" t="str">
        <f>IF('2965B'!$S33=1,'2965B'!$T33,"")</f>
        <v/>
      </c>
      <c r="R44" s="223" t="str">
        <f>IF('2965B'!$S33=2,'2965B'!$T33,"")</f>
        <v/>
      </c>
      <c r="S44" s="223" t="str">
        <f>IF('2965B'!$S33=3,'2965B'!$T33,"")</f>
        <v/>
      </c>
      <c r="T44" s="223" t="str">
        <f>IF('2965B'!$S33=4,'2965B'!$T33,"")</f>
        <v/>
      </c>
      <c r="U44" s="223" t="str">
        <f>IF('2965B'!$S33=5,'2965B'!$T33,"")</f>
        <v/>
      </c>
      <c r="V44" s="223" t="str">
        <f>IF('2965B'!$S33=6,'2965B'!$T33,"")</f>
        <v/>
      </c>
      <c r="W44" s="223" t="str">
        <f>IF('2965B'!$S33=7,'2965B'!$T33,"")</f>
        <v/>
      </c>
      <c r="X44" s="224" t="str">
        <f>IF('2965B'!$S33=8,'2965B'!$T33,"")</f>
        <v/>
      </c>
      <c r="Y44" s="228" t="str">
        <f>IF(OR('2965B'!S33=2,'2965B'!S33=3,'2965B'!S33=4,'2965B'!S33=5),"ü","")</f>
        <v/>
      </c>
      <c r="Z44" s="228" t="str">
        <f>IF('2965B'!P33=TRUE,"ü","")</f>
        <v/>
      </c>
      <c r="AA44" s="229" t="str">
        <f>IFERROR(VLOOKUP('2965B'!Q33,Pilots[[SN Last 3]:[Pilot]],2,FALSE),"")</f>
        <v/>
      </c>
      <c r="AB44" s="189" t="str">
        <f>IF('2965B'!$G$5=B44,"Max",IF('2965B'!$G$5=B43,"Lchs",""))</f>
        <v/>
      </c>
    </row>
    <row r="45" spans="2:28" ht="25.5" customHeight="1" thickTop="1" thickBot="1">
      <c r="B45" s="217">
        <v>25</v>
      </c>
      <c r="C45" s="218">
        <f>'2965B'!B34</f>
        <v>0</v>
      </c>
      <c r="D45" s="391">
        <f>'2965B'!C34</f>
        <v>0</v>
      </c>
      <c r="E45" s="392"/>
      <c r="F45" s="219">
        <f>'2965B'!D34</f>
        <v>0</v>
      </c>
      <c r="G45" s="220">
        <f>'2965B'!E34</f>
        <v>0</v>
      </c>
      <c r="H45" s="221">
        <f>'2965B'!F34</f>
        <v>0</v>
      </c>
      <c r="I45" s="222" t="str">
        <f>'2965B'!G34</f>
        <v/>
      </c>
      <c r="J45" s="223" t="str">
        <f>'2965B'!H34</f>
        <v/>
      </c>
      <c r="K45" s="224" t="str">
        <f>'2965B'!I34</f>
        <v/>
      </c>
      <c r="L45" s="225" t="str">
        <f>'2965B'!N34</f>
        <v/>
      </c>
      <c r="M45" s="222" t="str">
        <f>'2965B'!K34</f>
        <v/>
      </c>
      <c r="N45" s="224" t="str">
        <f>'2965B'!J34</f>
        <v/>
      </c>
      <c r="O45" s="226" t="str">
        <f>IF('2965B'!L34=TRUE,"ü","")</f>
        <v/>
      </c>
      <c r="P45" s="227" t="str">
        <f>IF('2965B'!M34=TRUE,"ü","")</f>
        <v/>
      </c>
      <c r="Q45" s="222" t="str">
        <f>IF('2965B'!$S34=1,'2965B'!$T34,"")</f>
        <v/>
      </c>
      <c r="R45" s="223" t="str">
        <f>IF('2965B'!$S34=2,'2965B'!$T34,"")</f>
        <v/>
      </c>
      <c r="S45" s="223" t="str">
        <f>IF('2965B'!$S34=3,'2965B'!$T34,"")</f>
        <v/>
      </c>
      <c r="T45" s="223" t="str">
        <f>IF('2965B'!$S34=4,'2965B'!$T34,"")</f>
        <v/>
      </c>
      <c r="U45" s="223" t="str">
        <f>IF('2965B'!$S34=5,'2965B'!$T34,"")</f>
        <v/>
      </c>
      <c r="V45" s="223" t="str">
        <f>IF('2965B'!$S34=6,'2965B'!$T34,"")</f>
        <v/>
      </c>
      <c r="W45" s="223" t="str">
        <f>IF('2965B'!$S34=7,'2965B'!$T34,"")</f>
        <v/>
      </c>
      <c r="X45" s="224" t="str">
        <f>IF('2965B'!$S34=8,'2965B'!$T34,"")</f>
        <v/>
      </c>
      <c r="Y45" s="228" t="str">
        <f>IF(OR('2965B'!S34=2,'2965B'!S34=3,'2965B'!S34=4,'2965B'!S34=5),"ü","")</f>
        <v/>
      </c>
      <c r="Z45" s="228" t="str">
        <f>IF('2965B'!P34=TRUE,"ü","")</f>
        <v/>
      </c>
      <c r="AA45" s="229" t="str">
        <f>IFERROR(VLOOKUP('2965B'!Q34,Pilots[[SN Last 3]:[Pilot]],2,FALSE),"")</f>
        <v/>
      </c>
      <c r="AB45" s="189" t="str">
        <f>IF('2965B'!$G$5=B45,"Max",IF('2965B'!$G$5=B44,"Lchs",""))</f>
        <v/>
      </c>
    </row>
    <row r="46" spans="2:28" ht="25.5" customHeight="1" thickTop="1" thickBot="1">
      <c r="B46" s="217">
        <v>26</v>
      </c>
      <c r="C46" s="218">
        <f>'2965B'!B35</f>
        <v>0</v>
      </c>
      <c r="D46" s="391">
        <f>'2965B'!C35</f>
        <v>0</v>
      </c>
      <c r="E46" s="392"/>
      <c r="F46" s="219">
        <f>'2965B'!D35</f>
        <v>0</v>
      </c>
      <c r="G46" s="220">
        <f>'2965B'!E35</f>
        <v>0</v>
      </c>
      <c r="H46" s="221">
        <f>'2965B'!F35</f>
        <v>0</v>
      </c>
      <c r="I46" s="222" t="str">
        <f>'2965B'!G35</f>
        <v/>
      </c>
      <c r="J46" s="223" t="str">
        <f>'2965B'!H35</f>
        <v/>
      </c>
      <c r="K46" s="224" t="str">
        <f>'2965B'!I35</f>
        <v/>
      </c>
      <c r="L46" s="225" t="str">
        <f>'2965B'!N35</f>
        <v/>
      </c>
      <c r="M46" s="222" t="str">
        <f>'2965B'!K35</f>
        <v/>
      </c>
      <c r="N46" s="224" t="str">
        <f>'2965B'!J35</f>
        <v/>
      </c>
      <c r="O46" s="226" t="str">
        <f>IF('2965B'!L35=TRUE,"ü","")</f>
        <v/>
      </c>
      <c r="P46" s="227" t="str">
        <f>IF('2965B'!M35=TRUE,"ü","")</f>
        <v/>
      </c>
      <c r="Q46" s="222" t="str">
        <f>IF('2965B'!$S35=1,'2965B'!$T35,"")</f>
        <v/>
      </c>
      <c r="R46" s="223" t="str">
        <f>IF('2965B'!$S35=2,'2965B'!$T35,"")</f>
        <v/>
      </c>
      <c r="S46" s="223" t="str">
        <f>IF('2965B'!$S35=3,'2965B'!$T35,"")</f>
        <v/>
      </c>
      <c r="T46" s="223" t="str">
        <f>IF('2965B'!$S35=4,'2965B'!$T35,"")</f>
        <v/>
      </c>
      <c r="U46" s="223" t="str">
        <f>IF('2965B'!$S35=5,'2965B'!$T35,"")</f>
        <v/>
      </c>
      <c r="V46" s="223" t="str">
        <f>IF('2965B'!$S35=6,'2965B'!$T35,"")</f>
        <v/>
      </c>
      <c r="W46" s="223" t="str">
        <f>IF('2965B'!$S35=7,'2965B'!$T35,"")</f>
        <v/>
      </c>
      <c r="X46" s="224" t="str">
        <f>IF('2965B'!$S35=8,'2965B'!$T35,"")</f>
        <v/>
      </c>
      <c r="Y46" s="228" t="str">
        <f>IF(OR('2965B'!S35=2,'2965B'!S35=3,'2965B'!S35=4,'2965B'!S35=5),"ü","")</f>
        <v/>
      </c>
      <c r="Z46" s="228" t="str">
        <f>IF('2965B'!P35=TRUE,"ü","")</f>
        <v/>
      </c>
      <c r="AA46" s="229" t="str">
        <f>IFERROR(VLOOKUP('2965B'!Q35,Pilots[[SN Last 3]:[Pilot]],2,FALSE),"")</f>
        <v/>
      </c>
      <c r="AB46" s="189" t="str">
        <f>IF('2965B'!$G$5=B46,"Max",IF('2965B'!$G$5=B45,"Lchs",""))</f>
        <v/>
      </c>
    </row>
    <row r="47" spans="2:28" ht="25.5" customHeight="1" thickTop="1" thickBot="1">
      <c r="B47" s="217">
        <v>27</v>
      </c>
      <c r="C47" s="218">
        <f>'2965B'!B36</f>
        <v>0</v>
      </c>
      <c r="D47" s="391">
        <f>'2965B'!C36</f>
        <v>0</v>
      </c>
      <c r="E47" s="392"/>
      <c r="F47" s="219">
        <f>'2965B'!D36</f>
        <v>0</v>
      </c>
      <c r="G47" s="220">
        <f>'2965B'!E36</f>
        <v>0</v>
      </c>
      <c r="H47" s="221">
        <f>'2965B'!F36</f>
        <v>0</v>
      </c>
      <c r="I47" s="222" t="str">
        <f>'2965B'!G36</f>
        <v/>
      </c>
      <c r="J47" s="223" t="str">
        <f>'2965B'!H36</f>
        <v/>
      </c>
      <c r="K47" s="224" t="str">
        <f>'2965B'!I36</f>
        <v/>
      </c>
      <c r="L47" s="225" t="str">
        <f>'2965B'!N36</f>
        <v/>
      </c>
      <c r="M47" s="222" t="str">
        <f>'2965B'!K36</f>
        <v/>
      </c>
      <c r="N47" s="224" t="str">
        <f>'2965B'!J36</f>
        <v/>
      </c>
      <c r="O47" s="226" t="str">
        <f>IF('2965B'!L36=TRUE,"ü","")</f>
        <v/>
      </c>
      <c r="P47" s="227" t="str">
        <f>IF('2965B'!M36=TRUE,"ü","")</f>
        <v/>
      </c>
      <c r="Q47" s="222" t="str">
        <f>IF('2965B'!$S36=1,'2965B'!$T36,"")</f>
        <v/>
      </c>
      <c r="R47" s="223" t="str">
        <f>IF('2965B'!$S36=2,'2965B'!$T36,"")</f>
        <v/>
      </c>
      <c r="S47" s="223" t="str">
        <f>IF('2965B'!$S36=3,'2965B'!$T36,"")</f>
        <v/>
      </c>
      <c r="T47" s="223" t="str">
        <f>IF('2965B'!$S36=4,'2965B'!$T36,"")</f>
        <v/>
      </c>
      <c r="U47" s="223" t="str">
        <f>IF('2965B'!$S36=5,'2965B'!$T36,"")</f>
        <v/>
      </c>
      <c r="V47" s="223" t="str">
        <f>IF('2965B'!$S36=6,'2965B'!$T36,"")</f>
        <v/>
      </c>
      <c r="W47" s="223" t="str">
        <f>IF('2965B'!$S36=7,'2965B'!$T36,"")</f>
        <v/>
      </c>
      <c r="X47" s="224" t="str">
        <f>IF('2965B'!$S36=8,'2965B'!$T36,"")</f>
        <v/>
      </c>
      <c r="Y47" s="228" t="str">
        <f>IF(OR('2965B'!S36=2,'2965B'!S36=3,'2965B'!S36=4,'2965B'!S36=5),"ü","")</f>
        <v/>
      </c>
      <c r="Z47" s="228" t="str">
        <f>IF('2965B'!P36=TRUE,"ü","")</f>
        <v/>
      </c>
      <c r="AA47" s="229" t="str">
        <f>IFERROR(VLOOKUP('2965B'!Q36,Pilots[[SN Last 3]:[Pilot]],2,FALSE),"")</f>
        <v/>
      </c>
      <c r="AB47" s="189" t="str">
        <f>IF('2965B'!$G$5=B47,"Max",IF('2965B'!$G$5=B46,"Lchs",""))</f>
        <v/>
      </c>
    </row>
    <row r="48" spans="2:28" ht="25.5" customHeight="1" thickTop="1" thickBot="1">
      <c r="B48" s="217">
        <v>28</v>
      </c>
      <c r="C48" s="218">
        <f>'2965B'!B37</f>
        <v>0</v>
      </c>
      <c r="D48" s="391">
        <f>'2965B'!C37</f>
        <v>0</v>
      </c>
      <c r="E48" s="392"/>
      <c r="F48" s="219">
        <f>'2965B'!D37</f>
        <v>0</v>
      </c>
      <c r="G48" s="220">
        <f>'2965B'!E37</f>
        <v>0</v>
      </c>
      <c r="H48" s="221">
        <f>'2965B'!F37</f>
        <v>0</v>
      </c>
      <c r="I48" s="222" t="str">
        <f>'2965B'!G37</f>
        <v/>
      </c>
      <c r="J48" s="223" t="str">
        <f>'2965B'!H37</f>
        <v/>
      </c>
      <c r="K48" s="224" t="str">
        <f>'2965B'!I37</f>
        <v/>
      </c>
      <c r="L48" s="225" t="str">
        <f>'2965B'!N37</f>
        <v/>
      </c>
      <c r="M48" s="222" t="str">
        <f>'2965B'!K37</f>
        <v/>
      </c>
      <c r="N48" s="224" t="str">
        <f>'2965B'!J37</f>
        <v/>
      </c>
      <c r="O48" s="226" t="str">
        <f>IF('2965B'!L37=TRUE,"ü","")</f>
        <v/>
      </c>
      <c r="P48" s="227" t="str">
        <f>IF('2965B'!M37=TRUE,"ü","")</f>
        <v/>
      </c>
      <c r="Q48" s="222" t="str">
        <f>IF('2965B'!$S37=1,'2965B'!$T37,"")</f>
        <v/>
      </c>
      <c r="R48" s="223" t="str">
        <f>IF('2965B'!$S37=2,'2965B'!$T37,"")</f>
        <v/>
      </c>
      <c r="S48" s="223" t="str">
        <f>IF('2965B'!$S37=3,'2965B'!$T37,"")</f>
        <v/>
      </c>
      <c r="T48" s="223" t="str">
        <f>IF('2965B'!$S37=4,'2965B'!$T37,"")</f>
        <v/>
      </c>
      <c r="U48" s="223" t="str">
        <f>IF('2965B'!$S37=5,'2965B'!$T37,"")</f>
        <v/>
      </c>
      <c r="V48" s="223" t="str">
        <f>IF('2965B'!$S37=6,'2965B'!$T37,"")</f>
        <v/>
      </c>
      <c r="W48" s="223" t="str">
        <f>IF('2965B'!$S37=7,'2965B'!$T37,"")</f>
        <v/>
      </c>
      <c r="X48" s="224" t="str">
        <f>IF('2965B'!$S37=8,'2965B'!$T37,"")</f>
        <v/>
      </c>
      <c r="Y48" s="228" t="str">
        <f>IF(OR('2965B'!S37=2,'2965B'!S37=3,'2965B'!S37=4,'2965B'!S37=5),"ü","")</f>
        <v/>
      </c>
      <c r="Z48" s="228" t="str">
        <f>IF('2965B'!P37=TRUE,"ü","")</f>
        <v/>
      </c>
      <c r="AA48" s="229" t="str">
        <f>IFERROR(VLOOKUP('2965B'!Q37,Pilots[[SN Last 3]:[Pilot]],2,FALSE),"")</f>
        <v/>
      </c>
      <c r="AB48" s="189" t="str">
        <f>IF('2965B'!$G$5=B48,"Max",IF('2965B'!$G$5=B47,"Lchs",""))</f>
        <v/>
      </c>
    </row>
    <row r="49" spans="2:28" ht="25.5" customHeight="1" thickTop="1" thickBot="1">
      <c r="B49" s="217">
        <v>29</v>
      </c>
      <c r="C49" s="218">
        <f>'2965B'!B38</f>
        <v>0</v>
      </c>
      <c r="D49" s="391">
        <f>'2965B'!C38</f>
        <v>0</v>
      </c>
      <c r="E49" s="392"/>
      <c r="F49" s="219">
        <f>'2965B'!D38</f>
        <v>0</v>
      </c>
      <c r="G49" s="220">
        <f>'2965B'!E38</f>
        <v>0</v>
      </c>
      <c r="H49" s="221">
        <f>'2965B'!F38</f>
        <v>0</v>
      </c>
      <c r="I49" s="222" t="str">
        <f>'2965B'!G38</f>
        <v/>
      </c>
      <c r="J49" s="223" t="str">
        <f>'2965B'!H38</f>
        <v/>
      </c>
      <c r="K49" s="224" t="str">
        <f>'2965B'!I38</f>
        <v/>
      </c>
      <c r="L49" s="225" t="str">
        <f>'2965B'!N38</f>
        <v/>
      </c>
      <c r="M49" s="222" t="str">
        <f>'2965B'!K38</f>
        <v/>
      </c>
      <c r="N49" s="224" t="str">
        <f>'2965B'!J38</f>
        <v/>
      </c>
      <c r="O49" s="226" t="str">
        <f>IF('2965B'!L38=TRUE,"ü","")</f>
        <v/>
      </c>
      <c r="P49" s="227" t="str">
        <f>IF('2965B'!M38=TRUE,"ü","")</f>
        <v/>
      </c>
      <c r="Q49" s="222" t="str">
        <f>IF('2965B'!$S38=1,'2965B'!$T38,"")</f>
        <v/>
      </c>
      <c r="R49" s="223" t="str">
        <f>IF('2965B'!$S38=2,'2965B'!$T38,"")</f>
        <v/>
      </c>
      <c r="S49" s="223" t="str">
        <f>IF('2965B'!$S38=3,'2965B'!$T38,"")</f>
        <v/>
      </c>
      <c r="T49" s="223" t="str">
        <f>IF('2965B'!$S38=4,'2965B'!$T38,"")</f>
        <v/>
      </c>
      <c r="U49" s="223" t="str">
        <f>IF('2965B'!$S38=5,'2965B'!$T38,"")</f>
        <v/>
      </c>
      <c r="V49" s="223" t="str">
        <f>IF('2965B'!$S38=6,'2965B'!$T38,"")</f>
        <v/>
      </c>
      <c r="W49" s="223" t="str">
        <f>IF('2965B'!$S38=7,'2965B'!$T38,"")</f>
        <v/>
      </c>
      <c r="X49" s="224" t="str">
        <f>IF('2965B'!$S38=8,'2965B'!$T38,"")</f>
        <v/>
      </c>
      <c r="Y49" s="228" t="str">
        <f>IF(OR('2965B'!S38=2,'2965B'!S38=3,'2965B'!S38=4,'2965B'!S38=5),"ü","")</f>
        <v/>
      </c>
      <c r="Z49" s="228" t="str">
        <f>IF('2965B'!P38=TRUE,"ü","")</f>
        <v/>
      </c>
      <c r="AA49" s="229" t="str">
        <f>IFERROR(VLOOKUP('2965B'!Q38,Pilots[[SN Last 3]:[Pilot]],2,FALSE),"")</f>
        <v/>
      </c>
      <c r="AB49" s="189" t="str">
        <f>IF('2965B'!$G$5=B49,"Max",IF('2965B'!$G$5=B48,"Lchs",""))</f>
        <v>Max</v>
      </c>
    </row>
    <row r="50" spans="2:28" ht="25.5" customHeight="1" thickTop="1" thickBot="1">
      <c r="B50" s="199">
        <v>30</v>
      </c>
      <c r="C50" s="181">
        <f>'2965B'!B39</f>
        <v>0</v>
      </c>
      <c r="D50" s="309">
        <f>'2965B'!C39</f>
        <v>0</v>
      </c>
      <c r="E50" s="310"/>
      <c r="F50" s="182">
        <f>'2965B'!D39</f>
        <v>0</v>
      </c>
      <c r="G50" s="183">
        <f>'2965B'!E39</f>
        <v>0</v>
      </c>
      <c r="H50" s="184">
        <f>'2965B'!F39</f>
        <v>0</v>
      </c>
      <c r="I50" s="91" t="str">
        <f>'2965B'!G39</f>
        <v/>
      </c>
      <c r="J50" s="92" t="str">
        <f>'2965B'!H39</f>
        <v/>
      </c>
      <c r="K50" s="94" t="str">
        <f>'2965B'!I39</f>
        <v/>
      </c>
      <c r="L50" s="185" t="str">
        <f>'2965B'!N39</f>
        <v/>
      </c>
      <c r="M50" s="91" t="str">
        <f>'2965B'!K39</f>
        <v/>
      </c>
      <c r="N50" s="94" t="str">
        <f>'2965B'!J39</f>
        <v/>
      </c>
      <c r="O50" s="186" t="str">
        <f>IF('2965B'!L39=TRUE,"ü","")</f>
        <v/>
      </c>
      <c r="P50" s="216" t="str">
        <f>IF('2965B'!M39=TRUE,"ü","")</f>
        <v/>
      </c>
      <c r="Q50" s="132" t="str">
        <f>IF('2965B'!$S39=1,'2965B'!$T39,"")</f>
        <v/>
      </c>
      <c r="R50" s="125" t="str">
        <f>IF('2965B'!$S39=2,'2965B'!$T39,"")</f>
        <v/>
      </c>
      <c r="S50" s="125" t="str">
        <f>IF('2965B'!$S39=3,'2965B'!$T39,"")</f>
        <v/>
      </c>
      <c r="T50" s="125" t="str">
        <f>IF('2965B'!$S39=4,'2965B'!$T39,"")</f>
        <v/>
      </c>
      <c r="U50" s="125" t="str">
        <f>IF('2965B'!$S39=5,'2965B'!$T39,"")</f>
        <v/>
      </c>
      <c r="V50" s="125" t="str">
        <f>IF('2965B'!$S39=6,'2965B'!$T39,"")</f>
        <v/>
      </c>
      <c r="W50" s="125" t="str">
        <f>IF('2965B'!$S39=7,'2965B'!$T39,"")</f>
        <v/>
      </c>
      <c r="X50" s="133" t="str">
        <f>IF('2965B'!$S39=8,'2965B'!$T39,"")</f>
        <v/>
      </c>
      <c r="Y50" s="187" t="str">
        <f>IF(OR('2965B'!S39=2,'2965B'!S39=3,'2965B'!S39=4,'2965B'!S39=5),"ü","")</f>
        <v/>
      </c>
      <c r="Z50" s="187" t="str">
        <f>IF('2965B'!P39=TRUE,"ü","")</f>
        <v/>
      </c>
      <c r="AA50" s="188" t="str">
        <f>IFERROR(VLOOKUP('2965B'!Q39,Pilots[[SN Last 3]:[Pilot]],2,FALSE),"")</f>
        <v/>
      </c>
      <c r="AB50" s="189" t="str">
        <f>IF('2965B'!$G$5=B50,"Max",IF('2965B'!$G$5=B49,"Lchs",""))</f>
        <v>Lchs</v>
      </c>
    </row>
    <row r="51" spans="2:28" ht="25.5" customHeight="1" thickTop="1" thickBot="1">
      <c r="B51" s="366" t="s">
        <v>79</v>
      </c>
      <c r="C51" s="368" t="s">
        <v>80</v>
      </c>
      <c r="D51" s="348" t="s">
        <v>81</v>
      </c>
      <c r="E51" s="349"/>
      <c r="F51" s="373" t="s">
        <v>89</v>
      </c>
      <c r="G51" s="384"/>
      <c r="H51" s="384"/>
      <c r="I51" s="230">
        <f>COUNT(I39:I50)+I37</f>
        <v>2</v>
      </c>
      <c r="J51" s="231">
        <f t="shared" ref="J51:N51" si="8">COUNT(J39:J50)+J37</f>
        <v>0</v>
      </c>
      <c r="K51" s="232">
        <f t="shared" si="8"/>
        <v>0</v>
      </c>
      <c r="L51" s="233">
        <f t="shared" si="8"/>
        <v>1</v>
      </c>
      <c r="M51" s="230">
        <f t="shared" si="8"/>
        <v>0</v>
      </c>
      <c r="N51" s="232">
        <f t="shared" si="8"/>
        <v>2</v>
      </c>
      <c r="O51" s="387"/>
      <c r="P51" s="387"/>
      <c r="Q51" s="230">
        <f t="shared" ref="Q51" si="9">COUNT(Q39:Q50)+Q37</f>
        <v>4</v>
      </c>
      <c r="R51" s="231">
        <f t="shared" ref="R51" si="10">COUNT(R39:R50)+R37</f>
        <v>0</v>
      </c>
      <c r="S51" s="231">
        <f t="shared" ref="S51" si="11">COUNT(S39:S50)+S37</f>
        <v>0</v>
      </c>
      <c r="T51" s="231">
        <f t="shared" ref="T51" si="12">COUNT(T39:T50)+T37</f>
        <v>0</v>
      </c>
      <c r="U51" s="231">
        <f t="shared" ref="U51" si="13">COUNT(U39:U50)+U37</f>
        <v>0</v>
      </c>
      <c r="V51" s="231">
        <f t="shared" ref="V51" si="14">COUNT(V39:V50)+V37</f>
        <v>1</v>
      </c>
      <c r="W51" s="231">
        <f t="shared" ref="W51" si="15">COUNT(W39:W50)+W37</f>
        <v>0</v>
      </c>
      <c r="X51" s="232">
        <f t="shared" ref="X51" si="16">COUNT(X39:X50)+X37</f>
        <v>0</v>
      </c>
      <c r="Y51" s="387"/>
      <c r="Z51" s="387"/>
      <c r="AA51" s="389"/>
    </row>
    <row r="52" spans="2:28" ht="25.5" customHeight="1" thickBot="1">
      <c r="B52" s="367"/>
      <c r="C52" s="369"/>
      <c r="D52" s="350"/>
      <c r="E52" s="351"/>
      <c r="F52" s="385" t="s">
        <v>90</v>
      </c>
      <c r="G52" s="386"/>
      <c r="H52" s="386"/>
      <c r="I52" s="201">
        <f>SUM(I39:I50)+I38</f>
        <v>6.9444444444444753E-3</v>
      </c>
      <c r="J52" s="200">
        <f t="shared" ref="J52:N52" si="17">SUM(J39:J50)+J38</f>
        <v>0</v>
      </c>
      <c r="K52" s="202">
        <f t="shared" si="17"/>
        <v>0</v>
      </c>
      <c r="L52" s="234">
        <f t="shared" si="17"/>
        <v>3.4722222222222099E-3</v>
      </c>
      <c r="M52" s="201">
        <f t="shared" si="17"/>
        <v>0</v>
      </c>
      <c r="N52" s="202">
        <f t="shared" si="17"/>
        <v>1.8055555555555547E-2</v>
      </c>
      <c r="O52" s="388"/>
      <c r="P52" s="388"/>
      <c r="Q52" s="201">
        <f t="shared" ref="Q52:X52" si="18">SUM(Q39:Q50)+Q38</f>
        <v>1.1111111111111127E-2</v>
      </c>
      <c r="R52" s="200">
        <f t="shared" si="18"/>
        <v>0</v>
      </c>
      <c r="S52" s="200">
        <f t="shared" si="18"/>
        <v>0</v>
      </c>
      <c r="T52" s="200">
        <f t="shared" si="18"/>
        <v>0</v>
      </c>
      <c r="U52" s="200">
        <f t="shared" si="18"/>
        <v>0</v>
      </c>
      <c r="V52" s="200">
        <f t="shared" si="18"/>
        <v>1.7361111111111105E-2</v>
      </c>
      <c r="W52" s="200">
        <f t="shared" si="18"/>
        <v>0</v>
      </c>
      <c r="X52" s="202">
        <f t="shared" si="18"/>
        <v>0</v>
      </c>
      <c r="Y52" s="388"/>
      <c r="Z52" s="388"/>
      <c r="AA52" s="390"/>
    </row>
    <row r="53" spans="2:28" ht="25.15" customHeight="1" thickBot="1">
      <c r="B53" s="422" t="s">
        <v>91</v>
      </c>
      <c r="C53" s="422"/>
      <c r="D53" s="422"/>
      <c r="E53" s="422"/>
      <c r="F53" s="422"/>
      <c r="G53" s="422"/>
      <c r="H53" s="422"/>
      <c r="I53" s="422"/>
      <c r="J53" s="422"/>
      <c r="K53" s="422"/>
      <c r="L53" s="422"/>
      <c r="M53" s="422"/>
      <c r="N53" s="422"/>
      <c r="O53" s="422"/>
      <c r="P53" s="422"/>
      <c r="Q53" s="422"/>
      <c r="R53" s="422"/>
      <c r="S53" s="422"/>
      <c r="T53" s="422"/>
      <c r="U53" s="422"/>
      <c r="V53" s="422"/>
      <c r="W53" s="422"/>
      <c r="X53" s="422"/>
      <c r="Y53" s="422"/>
      <c r="Z53" s="422"/>
      <c r="AA53" s="422"/>
    </row>
    <row r="54" spans="2:28" ht="25.15" customHeight="1" thickBot="1">
      <c r="B54" s="432" t="s">
        <v>89</v>
      </c>
      <c r="C54" s="423"/>
      <c r="D54" s="203">
        <f>SUM(I51:N51)</f>
        <v>5</v>
      </c>
      <c r="E54" s="423" t="s">
        <v>92</v>
      </c>
      <c r="F54" s="423"/>
      <c r="G54" s="423"/>
      <c r="H54" s="424">
        <f>SUM(I52:N52)</f>
        <v>2.8472222222222232E-2</v>
      </c>
      <c r="I54" s="425"/>
      <c r="J54" s="77"/>
      <c r="K54" s="405" t="s">
        <v>93</v>
      </c>
      <c r="L54" s="406"/>
      <c r="M54" s="406"/>
      <c r="N54" s="406"/>
      <c r="O54" s="406"/>
      <c r="P54" s="406"/>
      <c r="Q54" s="406"/>
      <c r="R54" s="406"/>
      <c r="S54" s="406"/>
      <c r="T54" s="406"/>
      <c r="U54" s="406"/>
      <c r="V54" s="406"/>
      <c r="W54" s="406"/>
      <c r="X54" s="406"/>
      <c r="Y54" s="406"/>
      <c r="Z54" s="406"/>
      <c r="AA54" s="407"/>
    </row>
    <row r="55" spans="2:28" ht="25.15" customHeight="1">
      <c r="B55" s="433" t="s">
        <v>94</v>
      </c>
      <c r="C55" s="426"/>
      <c r="D55" s="235">
        <f>'2965B'!C5</f>
        <v>2000</v>
      </c>
      <c r="E55" s="426" t="s">
        <v>95</v>
      </c>
      <c r="F55" s="426"/>
      <c r="G55" s="426"/>
      <c r="H55" s="427">
        <f>'2965B'!C4</f>
        <v>83.333333333333329</v>
      </c>
      <c r="I55" s="428"/>
      <c r="J55" s="77"/>
      <c r="K55" s="408" t="s">
        <v>96</v>
      </c>
      <c r="L55" s="409"/>
      <c r="M55" s="409"/>
      <c r="N55" s="409"/>
      <c r="O55" s="409"/>
      <c r="P55" s="410"/>
      <c r="Q55" s="414" t="s">
        <v>97</v>
      </c>
      <c r="R55" s="414"/>
      <c r="S55" s="414"/>
      <c r="T55" s="416"/>
      <c r="U55" s="417"/>
      <c r="V55" s="417"/>
      <c r="W55" s="417"/>
      <c r="X55" s="417"/>
      <c r="Y55" s="417"/>
      <c r="Z55" s="417"/>
      <c r="AA55" s="418"/>
    </row>
    <row r="56" spans="2:28" ht="25.15" customHeight="1" thickBot="1">
      <c r="B56" s="434" t="s">
        <v>98</v>
      </c>
      <c r="C56" s="429"/>
      <c r="D56" s="236">
        <f>D54+D55</f>
        <v>2005</v>
      </c>
      <c r="E56" s="429" t="s">
        <v>99</v>
      </c>
      <c r="F56" s="429"/>
      <c r="G56" s="429"/>
      <c r="H56" s="430">
        <f>H55+H54</f>
        <v>83.361805555555549</v>
      </c>
      <c r="I56" s="431"/>
      <c r="J56" s="77"/>
      <c r="K56" s="411"/>
      <c r="L56" s="412"/>
      <c r="M56" s="412"/>
      <c r="N56" s="412"/>
      <c r="O56" s="412"/>
      <c r="P56" s="413"/>
      <c r="Q56" s="415"/>
      <c r="R56" s="415"/>
      <c r="S56" s="415"/>
      <c r="T56" s="419"/>
      <c r="U56" s="420"/>
      <c r="V56" s="420"/>
      <c r="W56" s="420"/>
      <c r="X56" s="420"/>
      <c r="Y56" s="420"/>
      <c r="Z56" s="420"/>
      <c r="AA56" s="421"/>
    </row>
    <row r="57" spans="2:28" ht="25.15" customHeight="1">
      <c r="B57" s="362" t="s">
        <v>85</v>
      </c>
      <c r="C57" s="362"/>
      <c r="D57" s="362"/>
      <c r="E57" s="362"/>
      <c r="F57" s="362"/>
      <c r="G57" s="362"/>
      <c r="H57" s="362"/>
      <c r="I57" s="77"/>
      <c r="J57" s="77"/>
      <c r="K57" s="77"/>
      <c r="L57" s="77"/>
      <c r="M57" s="77"/>
      <c r="N57" s="119"/>
      <c r="O57" s="119"/>
      <c r="P57" s="77"/>
      <c r="Q57" s="77"/>
      <c r="R57" s="77"/>
      <c r="S57" s="77"/>
      <c r="T57" s="77"/>
      <c r="U57" s="77"/>
      <c r="V57" s="77"/>
      <c r="W57" s="77"/>
      <c r="X57" s="23"/>
      <c r="Y57" s="363" t="s">
        <v>100</v>
      </c>
      <c r="Z57" s="364"/>
      <c r="AA57" s="364"/>
    </row>
    <row r="58" spans="2:28" ht="25.15" customHeight="1">
      <c r="B58" s="19"/>
      <c r="C58" s="117"/>
      <c r="D58" s="117"/>
      <c r="E58" s="117"/>
      <c r="F58" s="23"/>
      <c r="G58" s="118"/>
      <c r="H58" s="118"/>
      <c r="I58" s="77"/>
      <c r="J58" s="77"/>
      <c r="K58" s="77"/>
      <c r="L58" s="77"/>
      <c r="M58" s="77"/>
      <c r="N58" s="119"/>
      <c r="O58" s="119"/>
      <c r="P58" s="77"/>
      <c r="Q58" s="77"/>
      <c r="R58" s="77"/>
      <c r="S58" s="77"/>
      <c r="T58" s="77"/>
      <c r="U58" s="77"/>
      <c r="V58" s="77"/>
      <c r="W58" s="77"/>
      <c r="X58" s="23"/>
      <c r="Y58" s="119"/>
      <c r="Z58" s="120"/>
      <c r="AA58" s="95"/>
    </row>
    <row r="59" spans="2:28" ht="25.15" customHeight="1">
      <c r="B59" s="19"/>
      <c r="C59" s="117"/>
      <c r="D59" s="117"/>
      <c r="E59" s="117"/>
      <c r="F59" s="23"/>
      <c r="G59" s="118"/>
      <c r="H59" s="118"/>
      <c r="I59" s="77"/>
      <c r="J59" s="77"/>
      <c r="K59" s="77"/>
      <c r="L59" s="77"/>
      <c r="M59" s="77"/>
      <c r="N59" s="119"/>
      <c r="O59" s="119"/>
      <c r="P59" s="77"/>
      <c r="Q59" s="77"/>
      <c r="R59" s="77"/>
      <c r="S59" s="77"/>
      <c r="T59" s="77"/>
      <c r="U59" s="77"/>
      <c r="V59" s="77"/>
      <c r="W59" s="77"/>
      <c r="X59" s="23"/>
      <c r="Y59" s="119"/>
      <c r="Z59" s="120"/>
      <c r="AA59" s="95"/>
    </row>
    <row r="60" spans="2:28" ht="25.15" customHeight="1">
      <c r="C60" s="20"/>
      <c r="D60" s="20"/>
      <c r="E60" s="20"/>
      <c r="F60" s="8"/>
      <c r="G60" s="123"/>
      <c r="H60" s="123"/>
      <c r="I60" s="77"/>
      <c r="J60" s="77"/>
      <c r="K60" s="77"/>
      <c r="L60" s="77"/>
      <c r="M60" s="77"/>
      <c r="N60" s="77"/>
      <c r="O60" s="77"/>
      <c r="P60" s="77"/>
      <c r="Q60" s="77"/>
      <c r="R60" s="77"/>
      <c r="S60" s="77"/>
      <c r="T60" s="77"/>
      <c r="U60" s="77"/>
      <c r="V60" s="77"/>
      <c r="W60" s="77"/>
      <c r="X60" s="8"/>
      <c r="Y60" s="8"/>
      <c r="Z60" s="8"/>
      <c r="AA60" s="95"/>
    </row>
    <row r="61" spans="2:28" ht="25.15" customHeight="1">
      <c r="B61" s="20"/>
      <c r="C61" s="20"/>
      <c r="D61" s="20"/>
      <c r="E61" s="20"/>
      <c r="F61" s="8"/>
      <c r="G61" s="121"/>
      <c r="H61" s="121"/>
      <c r="I61" s="23"/>
      <c r="J61" s="23"/>
      <c r="K61" s="23"/>
      <c r="L61" s="23"/>
      <c r="M61" s="23"/>
      <c r="N61" s="23"/>
      <c r="O61" s="23"/>
      <c r="P61" s="23"/>
      <c r="Q61" s="23"/>
      <c r="R61" s="23"/>
      <c r="S61" s="23"/>
      <c r="T61" s="23"/>
      <c r="U61" s="23"/>
      <c r="V61" s="23"/>
      <c r="W61" s="23"/>
      <c r="X61" s="8"/>
      <c r="Y61" s="8"/>
      <c r="Z61" s="8"/>
    </row>
    <row r="62" spans="2:28" ht="25.15" customHeight="1">
      <c r="C62" s="20"/>
      <c r="D62" s="20"/>
      <c r="E62" s="20"/>
      <c r="F62" s="8"/>
      <c r="G62" s="8"/>
      <c r="H62" s="8"/>
      <c r="I62" s="8"/>
      <c r="J62" s="8"/>
      <c r="K62" s="8"/>
      <c r="L62" s="8"/>
      <c r="M62" s="8"/>
      <c r="N62" s="8"/>
      <c r="O62" s="8"/>
      <c r="P62" s="8"/>
      <c r="Q62" s="8"/>
      <c r="R62" s="8"/>
      <c r="S62" s="8"/>
      <c r="T62" s="8"/>
      <c r="U62" s="8"/>
      <c r="V62" s="8"/>
      <c r="W62" s="8"/>
      <c r="X62" s="8"/>
      <c r="Y62" s="8"/>
      <c r="Z62" s="8"/>
    </row>
    <row r="63" spans="2:28" ht="25.15" customHeight="1">
      <c r="B63" s="20"/>
      <c r="C63" s="20"/>
      <c r="D63" s="20"/>
      <c r="E63" s="20"/>
      <c r="F63" s="8"/>
      <c r="G63" s="8"/>
      <c r="H63" s="8"/>
      <c r="I63" s="38"/>
      <c r="J63" s="38"/>
      <c r="K63" s="38"/>
      <c r="L63" s="38"/>
      <c r="M63" s="38"/>
      <c r="N63" s="38"/>
      <c r="O63" s="124"/>
      <c r="P63" s="41"/>
      <c r="Q63" s="38"/>
      <c r="R63" s="38"/>
      <c r="S63" s="38"/>
      <c r="T63" s="38"/>
      <c r="U63" s="38"/>
      <c r="V63" s="38"/>
      <c r="W63" s="41"/>
      <c r="X63" s="41"/>
      <c r="Y63" s="8"/>
      <c r="Z63" s="8"/>
    </row>
    <row r="64" spans="2:28" ht="25.15" customHeight="1">
      <c r="C64" s="20"/>
      <c r="D64" s="20"/>
      <c r="E64" s="20"/>
      <c r="F64" s="8"/>
      <c r="G64" s="8"/>
      <c r="H64" s="8"/>
      <c r="I64" s="38"/>
      <c r="J64" s="38"/>
      <c r="K64" s="38"/>
      <c r="L64" s="38"/>
      <c r="M64" s="38"/>
      <c r="N64" s="38"/>
      <c r="O64" s="124"/>
      <c r="P64" s="124"/>
      <c r="Q64" s="38"/>
      <c r="R64" s="38"/>
      <c r="S64" s="38"/>
      <c r="T64" s="38"/>
      <c r="U64" s="38"/>
      <c r="V64" s="38"/>
      <c r="W64" s="41"/>
      <c r="X64" s="41"/>
      <c r="Y64" s="8"/>
      <c r="Z64" s="8"/>
    </row>
    <row r="65" spans="2:26" ht="25.15" customHeight="1">
      <c r="B65" s="20"/>
      <c r="C65" s="20"/>
      <c r="D65" s="20"/>
      <c r="E65" s="20"/>
      <c r="F65" s="8"/>
      <c r="G65" s="8"/>
      <c r="H65" s="8"/>
      <c r="I65" s="38"/>
      <c r="J65" s="38"/>
      <c r="K65" s="38"/>
      <c r="L65" s="38"/>
      <c r="M65" s="38"/>
      <c r="N65" s="38"/>
      <c r="O65" s="124"/>
      <c r="P65" s="41"/>
      <c r="Q65" s="38"/>
      <c r="R65" s="38"/>
      <c r="S65" s="38"/>
      <c r="T65" s="38"/>
      <c r="U65" s="38"/>
      <c r="V65" s="38"/>
      <c r="W65" s="41"/>
      <c r="X65" s="41"/>
      <c r="Y65" s="8"/>
      <c r="Z65" s="8"/>
    </row>
    <row r="66" spans="2:26" ht="25.15" customHeight="1">
      <c r="B66" s="20"/>
      <c r="C66" s="20"/>
      <c r="D66" s="20"/>
      <c r="E66" s="20"/>
      <c r="F66" s="8"/>
      <c r="G66" s="8"/>
      <c r="H66" s="8"/>
      <c r="I66" s="21"/>
      <c r="J66" s="21"/>
      <c r="K66" s="21"/>
      <c r="L66" s="21"/>
      <c r="M66" s="21"/>
      <c r="N66" s="21"/>
      <c r="O66" s="22"/>
      <c r="P66" s="22"/>
      <c r="Q66" s="21"/>
      <c r="R66" s="21"/>
      <c r="S66" s="21"/>
      <c r="T66" s="21"/>
      <c r="U66" s="21"/>
      <c r="V66" s="21"/>
      <c r="W66" s="22"/>
      <c r="X66" s="22"/>
      <c r="Y66" s="8"/>
      <c r="Z66" s="8"/>
    </row>
    <row r="67" spans="2:26" ht="25.15" customHeight="1">
      <c r="B67" s="20"/>
      <c r="C67" s="20"/>
      <c r="D67" s="20"/>
      <c r="E67" s="20"/>
      <c r="F67" s="8"/>
      <c r="G67" s="8"/>
      <c r="H67" s="8"/>
      <c r="I67" s="21"/>
      <c r="J67" s="21"/>
      <c r="K67" s="21"/>
      <c r="L67" s="21"/>
      <c r="M67" s="21"/>
      <c r="N67" s="21"/>
      <c r="O67" s="22"/>
      <c r="P67" s="22"/>
      <c r="Q67" s="21"/>
      <c r="R67" s="21"/>
      <c r="S67" s="21"/>
      <c r="T67" s="21"/>
      <c r="U67" s="21"/>
      <c r="V67" s="21"/>
      <c r="W67" s="22"/>
      <c r="X67" s="22"/>
      <c r="Y67" s="8"/>
      <c r="Z67" s="8"/>
    </row>
    <row r="68" spans="2:26" ht="25.15" customHeight="1">
      <c r="B68" s="20"/>
      <c r="C68" s="20"/>
      <c r="D68" s="20"/>
      <c r="E68" s="20"/>
      <c r="F68" s="8"/>
      <c r="G68" s="8"/>
      <c r="H68" s="8"/>
      <c r="I68" s="122"/>
      <c r="J68" s="122"/>
      <c r="K68" s="122"/>
      <c r="L68" s="122"/>
      <c r="M68" s="122"/>
      <c r="N68" s="122"/>
      <c r="O68" s="122"/>
      <c r="P68" s="122"/>
      <c r="Q68" s="122"/>
      <c r="R68" s="122"/>
      <c r="S68" s="122"/>
      <c r="T68" s="122"/>
      <c r="U68" s="122"/>
      <c r="V68" s="122"/>
      <c r="W68" s="122"/>
      <c r="X68" s="122"/>
      <c r="Y68" s="8"/>
      <c r="Z68" s="8"/>
    </row>
    <row r="69" spans="2:26" ht="25.15" customHeight="1">
      <c r="B69" s="20"/>
      <c r="C69" s="20"/>
      <c r="D69" s="20"/>
      <c r="E69" s="20"/>
      <c r="F69" s="8"/>
      <c r="G69" s="8"/>
      <c r="H69" s="8"/>
      <c r="I69" s="8"/>
      <c r="J69" s="8"/>
      <c r="K69" s="8"/>
      <c r="L69" s="8"/>
      <c r="M69" s="8"/>
      <c r="N69" s="8"/>
      <c r="O69" s="8"/>
      <c r="P69" s="8"/>
      <c r="Q69" s="8"/>
      <c r="R69" s="8"/>
      <c r="S69" s="8"/>
      <c r="T69" s="8"/>
      <c r="U69" s="8"/>
      <c r="V69" s="8"/>
      <c r="W69" s="8"/>
      <c r="X69" s="8"/>
      <c r="Y69" s="8"/>
      <c r="Z69" s="8"/>
    </row>
    <row r="70" spans="2:26" ht="13.5" customHeight="1">
      <c r="B70" s="11"/>
      <c r="C70" s="11"/>
      <c r="D70" s="11"/>
      <c r="E70" s="11"/>
    </row>
    <row r="71" spans="2:26" ht="15" customHeight="1"/>
    <row r="72" spans="2:26" ht="13.5" customHeight="1"/>
  </sheetData>
  <sheetProtection algorithmName="SHA-512" hashValue="9181/6VLuBjhi75kF8A1QXyQCNWIG175H00tNuvh9/NdCEaJPwXRNR2p3HRt4MUTdyI1YfeCovVSmVmRJKbQng==" saltValue="l0X271cUvEsUcCEYzYwT2w==" spinCount="100000" sheet="1" selectLockedCells="1"/>
  <mergeCells count="113">
    <mergeCell ref="B57:H57"/>
    <mergeCell ref="K54:AA54"/>
    <mergeCell ref="K55:P55"/>
    <mergeCell ref="K56:P56"/>
    <mergeCell ref="Q55:S56"/>
    <mergeCell ref="T55:AA56"/>
    <mergeCell ref="Y57:AA57"/>
    <mergeCell ref="B53:AA53"/>
    <mergeCell ref="E54:G54"/>
    <mergeCell ref="H54:I54"/>
    <mergeCell ref="E55:G55"/>
    <mergeCell ref="H55:I55"/>
    <mergeCell ref="E56:G56"/>
    <mergeCell ref="H56:I56"/>
    <mergeCell ref="B54:C54"/>
    <mergeCell ref="B55:C55"/>
    <mergeCell ref="B56:C56"/>
    <mergeCell ref="Y37:AA38"/>
    <mergeCell ref="D39:E39"/>
    <mergeCell ref="D40:E40"/>
    <mergeCell ref="D41:E41"/>
    <mergeCell ref="B37:E38"/>
    <mergeCell ref="F37:F38"/>
    <mergeCell ref="G37:H37"/>
    <mergeCell ref="G38:H38"/>
    <mergeCell ref="O37:P38"/>
    <mergeCell ref="B51:B52"/>
    <mergeCell ref="C51:C52"/>
    <mergeCell ref="D51:E52"/>
    <mergeCell ref="F51:H51"/>
    <mergeCell ref="F52:H52"/>
    <mergeCell ref="O51:P52"/>
    <mergeCell ref="Y51:AA52"/>
    <mergeCell ref="D42:E42"/>
    <mergeCell ref="D43:E43"/>
    <mergeCell ref="D44:E44"/>
    <mergeCell ref="D45:E45"/>
    <mergeCell ref="D46:E46"/>
    <mergeCell ref="D47:E47"/>
    <mergeCell ref="D48:E48"/>
    <mergeCell ref="D49:E49"/>
    <mergeCell ref="D50:E50"/>
    <mergeCell ref="B33:AA33"/>
    <mergeCell ref="B34:B36"/>
    <mergeCell ref="C34:E35"/>
    <mergeCell ref="F34:F36"/>
    <mergeCell ref="G34:G36"/>
    <mergeCell ref="H34:H36"/>
    <mergeCell ref="I34:K35"/>
    <mergeCell ref="L34:L36"/>
    <mergeCell ref="M34:P34"/>
    <mergeCell ref="Q34:X35"/>
    <mergeCell ref="Y34:Y36"/>
    <mergeCell ref="Z34:Z36"/>
    <mergeCell ref="AA34:AA36"/>
    <mergeCell ref="M35:N35"/>
    <mergeCell ref="O35:P35"/>
    <mergeCell ref="D36:E36"/>
    <mergeCell ref="B28:H28"/>
    <mergeCell ref="Y28:AA28"/>
    <mergeCell ref="B31:G31"/>
    <mergeCell ref="H31:I31"/>
    <mergeCell ref="J31:K31"/>
    <mergeCell ref="L31:O31"/>
    <mergeCell ref="X31:AA31"/>
    <mergeCell ref="B26:B27"/>
    <mergeCell ref="C26:C27"/>
    <mergeCell ref="F26:F27"/>
    <mergeCell ref="G26:H26"/>
    <mergeCell ref="D26:E27"/>
    <mergeCell ref="D9:E9"/>
    <mergeCell ref="D10:E10"/>
    <mergeCell ref="D11:E11"/>
    <mergeCell ref="G27:H27"/>
    <mergeCell ref="D23:E23"/>
    <mergeCell ref="D22:E22"/>
    <mergeCell ref="O26:P27"/>
    <mergeCell ref="Y26:AA27"/>
    <mergeCell ref="Y5:Y7"/>
    <mergeCell ref="Z5:Z7"/>
    <mergeCell ref="AA5:AA7"/>
    <mergeCell ref="I5:K6"/>
    <mergeCell ref="D24:E24"/>
    <mergeCell ref="D25:E25"/>
    <mergeCell ref="I2:K2"/>
    <mergeCell ref="B2:D2"/>
    <mergeCell ref="D16:E16"/>
    <mergeCell ref="D17:E17"/>
    <mergeCell ref="D18:E18"/>
    <mergeCell ref="D19:E19"/>
    <mergeCell ref="D20:E20"/>
    <mergeCell ref="D21:E21"/>
    <mergeCell ref="D7:E7"/>
    <mergeCell ref="D8:E8"/>
    <mergeCell ref="B4:AA4"/>
    <mergeCell ref="B5:B7"/>
    <mergeCell ref="C5:E6"/>
    <mergeCell ref="L2:N2"/>
    <mergeCell ref="R2:U2"/>
    <mergeCell ref="X2:AA2"/>
    <mergeCell ref="O2:P2"/>
    <mergeCell ref="F5:F7"/>
    <mergeCell ref="L5:L7"/>
    <mergeCell ref="M5:P5"/>
    <mergeCell ref="M6:N6"/>
    <mergeCell ref="O6:P6"/>
    <mergeCell ref="D12:E12"/>
    <mergeCell ref="D13:E13"/>
    <mergeCell ref="D14:E14"/>
    <mergeCell ref="D15:E15"/>
    <mergeCell ref="Q5:X6"/>
    <mergeCell ref="G5:G7"/>
    <mergeCell ref="H5:H7"/>
  </mergeCells>
  <conditionalFormatting sqref="C8:H25">
    <cfRule type="cellIs" dxfId="31" priority="22" operator="equal">
      <formula>0</formula>
    </cfRule>
  </conditionalFormatting>
  <conditionalFormatting sqref="I26:N27">
    <cfRule type="cellIs" dxfId="30" priority="21" operator="equal">
      <formula>0</formula>
    </cfRule>
  </conditionalFormatting>
  <conditionalFormatting sqref="C39:H50">
    <cfRule type="cellIs" dxfId="29" priority="13" operator="equal">
      <formula>0</formula>
    </cfRule>
  </conditionalFormatting>
  <conditionalFormatting sqref="Q26:X27">
    <cfRule type="cellIs" dxfId="28" priority="9" operator="equal">
      <formula>0</formula>
    </cfRule>
  </conditionalFormatting>
  <conditionalFormatting sqref="I37:N38">
    <cfRule type="cellIs" dxfId="27" priority="7" operator="equal">
      <formula>0</formula>
    </cfRule>
  </conditionalFormatting>
  <conditionalFormatting sqref="Q37:X38">
    <cfRule type="cellIs" dxfId="26" priority="6" operator="equal">
      <formula>0</formula>
    </cfRule>
  </conditionalFormatting>
  <conditionalFormatting sqref="I51:N52">
    <cfRule type="cellIs" dxfId="25" priority="4" operator="equal">
      <formula>0</formula>
    </cfRule>
  </conditionalFormatting>
  <conditionalFormatting sqref="Q51:X52">
    <cfRule type="cellIs" dxfId="24" priority="1" operator="equal">
      <formula>0</formula>
    </cfRule>
  </conditionalFormatting>
  <printOptions horizontalCentered="1"/>
  <pageMargins left="3.937007874015748E-2" right="3.937007874015748E-2" top="0" bottom="0" header="0" footer="0"/>
  <pageSetup paperSize="9" scale="79" fitToHeight="0" orientation="landscape" r:id="rId1"/>
  <extLst>
    <ext xmlns:x14="http://schemas.microsoft.com/office/spreadsheetml/2009/9/main" uri="{78C0D931-6437-407d-A8EE-F0AAD7539E65}">
      <x14:conditionalFormattings>
        <x14:conditionalFormatting xmlns:xm="http://schemas.microsoft.com/office/excel/2006/main">
          <x14:cfRule type="expression" priority="18" id="{D84194E8-6EAE-4521-BB78-AE2C656C234C}">
            <xm:f>'2965B'!$G$5&lt;&gt;$B8</xm:f>
            <x14:dxf>
              <border>
                <bottom style="thin">
                  <color auto="1"/>
                </bottom>
                <vertical/>
                <horizontal/>
              </border>
            </x14:dxf>
          </x14:cfRule>
          <xm:sqref>B8:AA25 C39:X50 Z39:AA50</xm:sqref>
        </x14:conditionalFormatting>
        <x14:conditionalFormatting xmlns:xm="http://schemas.microsoft.com/office/excel/2006/main">
          <x14:cfRule type="expression" priority="17" id="{A4690F70-5789-4D5F-A6DC-5E790DC22ABC}">
            <xm:f>'2965B'!$G$5&lt;&gt;$B39</xm:f>
            <x14:dxf>
              <border>
                <bottom style="thin">
                  <color auto="1"/>
                </bottom>
                <vertical/>
                <horizontal/>
              </border>
            </x14:dxf>
          </x14:cfRule>
          <xm:sqref>B39:B50</xm:sqref>
        </x14:conditionalFormatting>
        <x14:conditionalFormatting xmlns:xm="http://schemas.microsoft.com/office/excel/2006/main">
          <x14:cfRule type="expression" priority="11" id="{6942BE0E-C2B4-4315-A4F7-9E79AFAE7527}">
            <xm:f>'2965B'!$G$5&lt;&gt;$B39</xm:f>
            <x14:dxf>
              <border>
                <bottom style="thin">
                  <color auto="1"/>
                </bottom>
                <vertical/>
                <horizontal/>
              </border>
            </x14:dxf>
          </x14:cfRule>
          <xm:sqref>Y39:Y50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C900C-3F8A-4A96-B02D-F8B830F7A38F}">
  <dimension ref="A1:U36"/>
  <sheetViews>
    <sheetView topLeftCell="A10" workbookViewId="0"/>
  </sheetViews>
  <sheetFormatPr defaultRowHeight="15"/>
  <cols>
    <col min="1" max="1" width="13.85546875" customWidth="1"/>
    <col min="2" max="3" width="12.7109375" customWidth="1"/>
    <col min="4" max="4" width="16.7109375" customWidth="1"/>
    <col min="5" max="5" width="12.7109375" customWidth="1"/>
    <col min="6" max="6" width="16.7109375" customWidth="1"/>
    <col min="7" max="8" width="12.7109375" customWidth="1"/>
    <col min="9" max="9" width="16.7109375" customWidth="1"/>
    <col min="10" max="10" width="49.7109375" customWidth="1"/>
    <col min="11" max="11" width="36.140625" hidden="1" customWidth="1"/>
  </cols>
  <sheetData>
    <row r="1" spans="1:21" hidden="1">
      <c r="B1" t="s">
        <v>4</v>
      </c>
      <c r="C1" t="s">
        <v>101</v>
      </c>
      <c r="E1" t="s">
        <v>102</v>
      </c>
      <c r="J1" t="s">
        <v>103</v>
      </c>
      <c r="K1" t="s">
        <v>104</v>
      </c>
    </row>
    <row r="2" spans="1:21" hidden="1">
      <c r="B2" s="149">
        <f>'2965B'!$O$2</f>
        <v>46275</v>
      </c>
      <c r="C2" s="148">
        <f>'2965B'!N$44</f>
        <v>0</v>
      </c>
      <c r="D2" s="148">
        <f>D14+C2</f>
        <v>83.333333333333329</v>
      </c>
      <c r="E2">
        <f>'2965B'!N45</f>
        <v>0</v>
      </c>
      <c r="F2" s="2">
        <f>F14+E2</f>
        <v>2000</v>
      </c>
      <c r="G2" t="s">
        <v>105</v>
      </c>
      <c r="H2" t="s">
        <v>105</v>
      </c>
      <c r="I2">
        <v>8</v>
      </c>
      <c r="J2" t="str" cm="1">
        <f t="array" ref="J2">_xlfn.XLOOKUP(1,1/('2965B'!B10:B39&lt;&gt;""),'2965B'!B10:B39,"",,-1)</f>
        <v>Ashby</v>
      </c>
      <c r="K2" t="b">
        <f t="shared" ref="K2:K9" si="0">IF(E2&gt;0,TRUE,FALSE)</f>
        <v>0</v>
      </c>
    </row>
    <row r="3" spans="1:21" hidden="1">
      <c r="B3" s="149">
        <f>'2965B'!$O$2</f>
        <v>46275</v>
      </c>
      <c r="C3" s="148">
        <f>'2965B'!M$44</f>
        <v>0</v>
      </c>
      <c r="D3" s="148">
        <f t="shared" ref="D3:D9" si="1">D2+C3</f>
        <v>83.333333333333329</v>
      </c>
      <c r="E3">
        <f>'2965B'!M45</f>
        <v>0</v>
      </c>
      <c r="F3" s="2">
        <f t="shared" ref="F3:F9" si="2">F2+E3</f>
        <v>2000</v>
      </c>
      <c r="G3" t="s">
        <v>105</v>
      </c>
      <c r="H3" t="s">
        <v>105</v>
      </c>
      <c r="I3">
        <v>7</v>
      </c>
      <c r="J3" t="str">
        <f>J2</f>
        <v>Ashby</v>
      </c>
      <c r="K3" t="b">
        <f t="shared" si="0"/>
        <v>0</v>
      </c>
    </row>
    <row r="4" spans="1:21" hidden="1">
      <c r="B4" s="149">
        <f>'2965B'!$O$2</f>
        <v>46275</v>
      </c>
      <c r="C4" s="148">
        <f>'2965B'!L$44</f>
        <v>1.7361111111111105E-2</v>
      </c>
      <c r="D4" s="148">
        <f t="shared" si="1"/>
        <v>83.350694444444443</v>
      </c>
      <c r="E4">
        <f>'2965B'!L45</f>
        <v>1</v>
      </c>
      <c r="F4" s="2">
        <f t="shared" si="2"/>
        <v>2001</v>
      </c>
      <c r="G4" t="s">
        <v>105</v>
      </c>
      <c r="H4" t="s">
        <v>105</v>
      </c>
      <c r="I4">
        <v>6</v>
      </c>
      <c r="J4" t="str">
        <f t="shared" ref="J4:J9" si="3">J3</f>
        <v>Ashby</v>
      </c>
      <c r="K4" t="b">
        <f t="shared" si="0"/>
        <v>1</v>
      </c>
    </row>
    <row r="5" spans="1:21" hidden="1">
      <c r="B5" s="149">
        <f>'2965B'!$O$2</f>
        <v>46275</v>
      </c>
      <c r="C5" s="148">
        <f>'2965B'!K$44</f>
        <v>0</v>
      </c>
      <c r="D5" s="148">
        <f t="shared" si="1"/>
        <v>83.350694444444443</v>
      </c>
      <c r="E5">
        <f>'2965B'!K45</f>
        <v>0</v>
      </c>
      <c r="F5" s="2">
        <f t="shared" si="2"/>
        <v>2001</v>
      </c>
      <c r="G5" t="s">
        <v>105</v>
      </c>
      <c r="H5" t="s">
        <v>105</v>
      </c>
      <c r="I5">
        <v>5</v>
      </c>
      <c r="J5" t="str">
        <f t="shared" si="3"/>
        <v>Ashby</v>
      </c>
      <c r="K5" t="b">
        <f t="shared" si="0"/>
        <v>0</v>
      </c>
    </row>
    <row r="6" spans="1:21" hidden="1">
      <c r="B6" s="149">
        <f>'2965B'!$O$2</f>
        <v>46275</v>
      </c>
      <c r="C6" s="148">
        <f>'2965B'!J$44</f>
        <v>0</v>
      </c>
      <c r="D6" s="148">
        <f t="shared" si="1"/>
        <v>83.350694444444443</v>
      </c>
      <c r="E6">
        <f>'2965B'!J45</f>
        <v>0</v>
      </c>
      <c r="F6" s="2">
        <f t="shared" si="2"/>
        <v>2001</v>
      </c>
      <c r="G6" t="s">
        <v>105</v>
      </c>
      <c r="H6" t="s">
        <v>105</v>
      </c>
      <c r="I6">
        <v>4</v>
      </c>
      <c r="J6" t="str">
        <f t="shared" si="3"/>
        <v>Ashby</v>
      </c>
      <c r="K6" t="b">
        <f t="shared" si="0"/>
        <v>0</v>
      </c>
    </row>
    <row r="7" spans="1:21" hidden="1">
      <c r="B7" s="149">
        <f>'2965B'!$O$2</f>
        <v>46275</v>
      </c>
      <c r="C7" s="148">
        <f>'2965B'!I$44</f>
        <v>0</v>
      </c>
      <c r="D7" s="148">
        <f t="shared" si="1"/>
        <v>83.350694444444443</v>
      </c>
      <c r="E7">
        <f>'2965B'!I45</f>
        <v>0</v>
      </c>
      <c r="F7" s="2">
        <f t="shared" si="2"/>
        <v>2001</v>
      </c>
      <c r="G7" t="s">
        <v>105</v>
      </c>
      <c r="H7" t="s">
        <v>105</v>
      </c>
      <c r="I7">
        <v>3</v>
      </c>
      <c r="J7" t="str">
        <f t="shared" si="3"/>
        <v>Ashby</v>
      </c>
      <c r="K7" t="b">
        <f t="shared" si="0"/>
        <v>0</v>
      </c>
    </row>
    <row r="8" spans="1:21" hidden="1">
      <c r="B8" s="149">
        <f>'2965B'!$O$2</f>
        <v>46275</v>
      </c>
      <c r="C8" s="148">
        <f>'2965B'!H$44</f>
        <v>0</v>
      </c>
      <c r="D8" s="148">
        <f t="shared" si="1"/>
        <v>83.350694444444443</v>
      </c>
      <c r="E8">
        <f>'2965B'!H45</f>
        <v>0</v>
      </c>
      <c r="F8" s="2">
        <f t="shared" si="2"/>
        <v>2001</v>
      </c>
      <c r="G8" t="s">
        <v>105</v>
      </c>
      <c r="H8" t="s">
        <v>105</v>
      </c>
      <c r="I8">
        <v>2</v>
      </c>
      <c r="J8" t="str">
        <f t="shared" si="3"/>
        <v>Ashby</v>
      </c>
      <c r="K8" t="b">
        <f t="shared" si="0"/>
        <v>0</v>
      </c>
    </row>
    <row r="9" spans="1:21" hidden="1">
      <c r="B9" s="149">
        <f>'2965B'!$O$2</f>
        <v>46275</v>
      </c>
      <c r="C9" s="148">
        <f>'2965B'!G$44</f>
        <v>1.1111111111111127E-2</v>
      </c>
      <c r="D9" s="148">
        <f t="shared" si="1"/>
        <v>83.361805555555549</v>
      </c>
      <c r="E9">
        <f>'2965B'!G45</f>
        <v>4</v>
      </c>
      <c r="F9" s="2">
        <f t="shared" si="2"/>
        <v>2005</v>
      </c>
      <c r="G9" t="s">
        <v>105</v>
      </c>
      <c r="H9" t="s">
        <v>105</v>
      </c>
      <c r="I9">
        <v>1</v>
      </c>
      <c r="J9" t="str">
        <f t="shared" si="3"/>
        <v>Ashby</v>
      </c>
      <c r="K9" t="b">
        <f t="shared" si="0"/>
        <v>1</v>
      </c>
    </row>
    <row r="10" spans="1:21" ht="45" customHeight="1">
      <c r="A10" s="437" t="s">
        <v>106</v>
      </c>
      <c r="B10" s="437"/>
      <c r="C10" s="437"/>
      <c r="D10" s="437"/>
      <c r="E10" s="437"/>
      <c r="F10" s="437"/>
      <c r="G10" s="437"/>
      <c r="H10" s="437"/>
      <c r="I10" s="437"/>
      <c r="J10" s="150"/>
      <c r="K10" s="150"/>
      <c r="L10" s="150"/>
      <c r="M10" s="150"/>
      <c r="N10" s="150"/>
      <c r="O10" s="150"/>
      <c r="P10" s="150"/>
      <c r="Q10" s="150"/>
      <c r="R10" s="150"/>
      <c r="S10" s="150"/>
      <c r="T10" s="150"/>
      <c r="U10" s="150"/>
    </row>
    <row r="11" spans="1:21" ht="26.25" customHeight="1" thickBot="1">
      <c r="A11" s="150"/>
      <c r="B11" s="150"/>
      <c r="C11" s="150"/>
      <c r="D11" s="150"/>
      <c r="E11" s="150"/>
      <c r="F11" s="150"/>
      <c r="G11" s="150"/>
      <c r="H11" s="150"/>
      <c r="I11" s="150"/>
      <c r="J11" s="150"/>
      <c r="K11" s="150"/>
      <c r="L11" s="150"/>
      <c r="M11" s="150"/>
      <c r="N11" s="150"/>
      <c r="O11" s="150"/>
      <c r="P11" s="150"/>
      <c r="Q11" s="150"/>
      <c r="R11" s="150"/>
      <c r="S11" s="150"/>
      <c r="T11" s="150"/>
      <c r="U11" s="150"/>
    </row>
    <row r="12" spans="1:21" ht="25.5" customHeight="1">
      <c r="A12" s="150"/>
      <c r="B12" s="439" t="s">
        <v>4</v>
      </c>
      <c r="C12" s="441" t="s">
        <v>107</v>
      </c>
      <c r="D12" s="441"/>
      <c r="E12" s="441" t="s">
        <v>108</v>
      </c>
      <c r="F12" s="441"/>
      <c r="G12" s="441" t="s">
        <v>109</v>
      </c>
      <c r="H12" s="441"/>
      <c r="I12" s="442" t="s">
        <v>110</v>
      </c>
      <c r="J12" s="435" t="s">
        <v>111</v>
      </c>
      <c r="K12" s="438"/>
      <c r="L12" s="150"/>
      <c r="M12" s="150"/>
      <c r="N12" s="150"/>
      <c r="O12" s="150"/>
      <c r="P12" s="150"/>
      <c r="Q12" s="150"/>
      <c r="R12" s="150"/>
      <c r="S12" s="150"/>
      <c r="T12" s="150"/>
      <c r="U12" s="150"/>
    </row>
    <row r="13" spans="1:21" ht="37.5" customHeight="1">
      <c r="A13" s="150"/>
      <c r="B13" s="440"/>
      <c r="C13" s="154" t="s">
        <v>112</v>
      </c>
      <c r="D13" s="154" t="s">
        <v>113</v>
      </c>
      <c r="E13" s="154" t="s">
        <v>112</v>
      </c>
      <c r="F13" s="154" t="s">
        <v>113</v>
      </c>
      <c r="G13" s="154" t="s">
        <v>112</v>
      </c>
      <c r="H13" s="154" t="s">
        <v>113</v>
      </c>
      <c r="I13" s="443"/>
      <c r="J13" s="436"/>
      <c r="K13" s="438"/>
      <c r="L13" s="150"/>
      <c r="M13" s="150"/>
      <c r="N13" s="150"/>
      <c r="O13" s="150"/>
      <c r="P13" s="150"/>
      <c r="Q13" s="150"/>
      <c r="R13" s="150"/>
      <c r="S13" s="150"/>
      <c r="T13" s="150"/>
      <c r="U13" s="150"/>
    </row>
    <row r="14" spans="1:21" ht="27.95" customHeight="1">
      <c r="A14" s="155" t="s">
        <v>114</v>
      </c>
      <c r="B14" s="255"/>
      <c r="C14" s="256"/>
      <c r="D14" s="257">
        <f>'2965B'!C4</f>
        <v>83.333333333333329</v>
      </c>
      <c r="E14" s="258"/>
      <c r="F14" s="259">
        <f>'2965B'!C5</f>
        <v>2000</v>
      </c>
      <c r="G14" s="258"/>
      <c r="H14" s="260"/>
      <c r="I14" s="258"/>
      <c r="J14" s="261"/>
      <c r="K14" s="150"/>
      <c r="L14" s="150"/>
      <c r="M14" s="150"/>
      <c r="N14" s="150"/>
      <c r="O14" s="150"/>
      <c r="P14" s="150"/>
      <c r="Q14" s="150"/>
      <c r="R14" s="150"/>
      <c r="S14" s="150"/>
      <c r="T14" s="150"/>
      <c r="U14" s="150"/>
    </row>
    <row r="15" spans="1:21" ht="27.95" customHeight="1">
      <c r="A15" s="153" t="s">
        <v>115</v>
      </c>
      <c r="B15" s="262" cm="1">
        <f t="array" ref="B15:K16">_xlfn._xlws.FILTER(B2:K9,K2:K9=TRUE,"")</f>
        <v>46275</v>
      </c>
      <c r="C15" s="152">
        <v>1.7361111111111105E-2</v>
      </c>
      <c r="D15" s="152">
        <v>83.350694444444443</v>
      </c>
      <c r="E15" s="151">
        <v>1</v>
      </c>
      <c r="F15" s="151">
        <v>2001</v>
      </c>
      <c r="G15" s="151" t="str">
        <v>As Req'd</v>
      </c>
      <c r="H15" s="151" t="str">
        <v>As Req'd</v>
      </c>
      <c r="I15" s="151">
        <v>6</v>
      </c>
      <c r="J15" s="151" t="str">
        <v>Ashby</v>
      </c>
      <c r="K15" s="151" t="b">
        <v>1</v>
      </c>
      <c r="L15" s="150"/>
      <c r="M15" s="150"/>
      <c r="N15" s="150"/>
      <c r="O15" s="150"/>
      <c r="P15" s="150"/>
      <c r="Q15" s="150"/>
      <c r="R15" s="150"/>
      <c r="S15" s="150"/>
      <c r="T15" s="150"/>
      <c r="U15" s="150"/>
    </row>
    <row r="16" spans="1:21" ht="27.95" customHeight="1">
      <c r="A16" s="150"/>
      <c r="B16" s="262">
        <v>46275</v>
      </c>
      <c r="C16" s="152">
        <v>1.1111111111111127E-2</v>
      </c>
      <c r="D16" s="152">
        <v>83.361805555555549</v>
      </c>
      <c r="E16" s="151">
        <v>4</v>
      </c>
      <c r="F16" s="151">
        <v>2005</v>
      </c>
      <c r="G16" s="151" t="str">
        <v>As Req'd</v>
      </c>
      <c r="H16" s="151" t="str">
        <v>As Req'd</v>
      </c>
      <c r="I16" s="151">
        <v>1</v>
      </c>
      <c r="J16" s="151" t="str">
        <v>Ashby</v>
      </c>
      <c r="K16" s="151" t="b">
        <v>1</v>
      </c>
      <c r="L16" s="150"/>
      <c r="M16" s="150"/>
      <c r="N16" s="150"/>
      <c r="O16" s="150"/>
      <c r="P16" s="150"/>
      <c r="Q16" s="150"/>
      <c r="R16" s="150"/>
      <c r="S16" s="150"/>
      <c r="T16" s="150"/>
      <c r="U16" s="150"/>
    </row>
    <row r="17" spans="1:21" ht="27.95" customHeight="1">
      <c r="A17" s="150"/>
      <c r="B17" s="262"/>
      <c r="C17" s="152"/>
      <c r="D17" s="152"/>
      <c r="E17" s="151"/>
      <c r="F17" s="151"/>
      <c r="G17" s="151"/>
      <c r="H17" s="151"/>
      <c r="I17" s="151"/>
      <c r="J17" s="151"/>
      <c r="K17" s="151"/>
      <c r="L17" s="150"/>
      <c r="M17" s="150"/>
      <c r="N17" s="150"/>
      <c r="O17" s="150"/>
      <c r="P17" s="150"/>
      <c r="Q17" s="150"/>
      <c r="R17" s="150"/>
      <c r="S17" s="150"/>
      <c r="T17" s="150"/>
      <c r="U17" s="150"/>
    </row>
    <row r="18" spans="1:21" ht="27.95" customHeight="1">
      <c r="A18" s="150"/>
      <c r="B18" s="262"/>
      <c r="C18" s="152"/>
      <c r="D18" s="152"/>
      <c r="E18" s="151"/>
      <c r="F18" s="151"/>
      <c r="G18" s="151"/>
      <c r="H18" s="151"/>
      <c r="I18" s="151"/>
      <c r="J18" s="151"/>
      <c r="K18" s="151"/>
      <c r="L18" s="150"/>
      <c r="M18" s="150"/>
      <c r="N18" s="150"/>
      <c r="O18" s="150"/>
      <c r="P18" s="150"/>
      <c r="Q18" s="150"/>
      <c r="R18" s="150"/>
      <c r="S18" s="150"/>
      <c r="T18" s="150"/>
      <c r="U18" s="150"/>
    </row>
    <row r="19" spans="1:21" ht="27.95" customHeight="1">
      <c r="A19" s="150"/>
      <c r="B19" s="262"/>
      <c r="C19" s="152"/>
      <c r="D19" s="152"/>
      <c r="E19" s="151"/>
      <c r="F19" s="151"/>
      <c r="G19" s="151"/>
      <c r="H19" s="151"/>
      <c r="I19" s="151"/>
      <c r="J19" s="151"/>
      <c r="K19" s="151"/>
      <c r="L19" s="150"/>
      <c r="M19" s="150"/>
      <c r="N19" s="150"/>
      <c r="O19" s="150"/>
      <c r="P19" s="150"/>
      <c r="Q19" s="150"/>
      <c r="R19" s="150"/>
      <c r="S19" s="150"/>
      <c r="T19" s="150"/>
      <c r="U19" s="150"/>
    </row>
    <row r="20" spans="1:21" ht="27.95" customHeight="1">
      <c r="A20" s="150"/>
      <c r="B20" s="262"/>
      <c r="C20" s="152"/>
      <c r="D20" s="152"/>
      <c r="E20" s="151"/>
      <c r="F20" s="151"/>
      <c r="G20" s="151"/>
      <c r="H20" s="151"/>
      <c r="I20" s="151"/>
      <c r="J20" s="151"/>
      <c r="K20" s="151"/>
      <c r="L20" s="150"/>
      <c r="M20" s="150"/>
      <c r="N20" s="150"/>
      <c r="O20" s="150"/>
      <c r="P20" s="150"/>
      <c r="Q20" s="150"/>
      <c r="R20" s="150"/>
      <c r="S20" s="150"/>
      <c r="T20" s="150"/>
      <c r="U20" s="150"/>
    </row>
    <row r="21" spans="1:21" ht="27.95" customHeight="1">
      <c r="A21" s="150"/>
      <c r="B21" s="262"/>
      <c r="C21" s="152"/>
      <c r="D21" s="152"/>
      <c r="E21" s="151"/>
      <c r="F21" s="151"/>
      <c r="G21" s="151"/>
      <c r="H21" s="151"/>
      <c r="I21" s="151"/>
      <c r="J21" s="151"/>
      <c r="K21" s="151"/>
      <c r="L21" s="150"/>
      <c r="M21" s="150"/>
      <c r="N21" s="150"/>
      <c r="O21" s="150"/>
      <c r="P21" s="150"/>
      <c r="Q21" s="150"/>
      <c r="R21" s="150"/>
      <c r="S21" s="150"/>
      <c r="T21" s="150"/>
      <c r="U21" s="150"/>
    </row>
    <row r="22" spans="1:21" ht="27.95" customHeight="1">
      <c r="A22" s="150"/>
      <c r="B22" s="262"/>
      <c r="C22" s="152"/>
      <c r="D22" s="152"/>
      <c r="E22" s="151"/>
      <c r="F22" s="151"/>
      <c r="G22" s="151"/>
      <c r="H22" s="151"/>
      <c r="I22" s="151"/>
      <c r="J22" s="151"/>
      <c r="K22" s="151"/>
      <c r="L22" s="150"/>
      <c r="M22" s="150"/>
      <c r="N22" s="150"/>
      <c r="O22" s="150"/>
      <c r="P22" s="150"/>
      <c r="Q22" s="150"/>
      <c r="R22" s="150"/>
      <c r="S22" s="150"/>
      <c r="T22" s="150"/>
      <c r="U22" s="150"/>
    </row>
    <row r="23" spans="1:21">
      <c r="A23" s="150"/>
      <c r="B23" s="151"/>
      <c r="C23" s="152"/>
      <c r="D23" s="152"/>
      <c r="E23" s="151"/>
      <c r="F23" s="151"/>
      <c r="G23" s="151"/>
      <c r="H23" s="151"/>
      <c r="I23" s="151"/>
      <c r="J23" s="151"/>
      <c r="K23" s="151"/>
      <c r="L23" s="150"/>
      <c r="M23" s="150"/>
      <c r="N23" s="150"/>
      <c r="O23" s="150"/>
      <c r="P23" s="150"/>
      <c r="Q23" s="150"/>
      <c r="R23" s="150"/>
      <c r="S23" s="150"/>
      <c r="T23" s="150"/>
      <c r="U23" s="150"/>
    </row>
    <row r="24" spans="1:21">
      <c r="A24" s="150"/>
      <c r="B24" s="151"/>
      <c r="C24" s="151"/>
      <c r="D24" s="152"/>
      <c r="E24" s="151"/>
      <c r="F24" s="151"/>
      <c r="G24" s="151"/>
      <c r="H24" s="151"/>
      <c r="I24" s="151"/>
      <c r="J24" s="151"/>
      <c r="K24" s="151"/>
      <c r="L24" s="150"/>
      <c r="M24" s="150"/>
      <c r="N24" s="150"/>
      <c r="O24" s="150"/>
      <c r="P24" s="150"/>
      <c r="Q24" s="150"/>
      <c r="R24" s="150"/>
      <c r="S24" s="150"/>
      <c r="T24" s="150"/>
      <c r="U24" s="150"/>
    </row>
    <row r="25" spans="1:21">
      <c r="A25" s="150"/>
      <c r="B25" s="151"/>
      <c r="C25" s="151"/>
      <c r="D25" s="152"/>
      <c r="E25" s="151"/>
      <c r="F25" s="151"/>
      <c r="G25" s="151"/>
      <c r="H25" s="151"/>
      <c r="I25" s="151"/>
      <c r="J25" s="151"/>
      <c r="K25" s="151"/>
      <c r="L25" s="150"/>
      <c r="M25" s="150"/>
      <c r="N25" s="150"/>
      <c r="O25" s="150"/>
      <c r="P25" s="150"/>
      <c r="Q25" s="150"/>
      <c r="R25" s="150"/>
      <c r="S25" s="150"/>
      <c r="T25" s="150"/>
      <c r="U25" s="150"/>
    </row>
    <row r="26" spans="1:21">
      <c r="A26" s="150"/>
      <c r="B26" s="151"/>
      <c r="C26" s="151"/>
      <c r="D26" s="152"/>
      <c r="E26" s="151"/>
      <c r="F26" s="151"/>
      <c r="G26" s="151"/>
      <c r="H26" s="151"/>
      <c r="I26" s="151"/>
      <c r="J26" s="151"/>
      <c r="K26" s="151"/>
      <c r="L26" s="150"/>
      <c r="M26" s="150"/>
      <c r="N26" s="150"/>
      <c r="O26" s="150"/>
      <c r="P26" s="150"/>
      <c r="Q26" s="150"/>
      <c r="R26" s="150"/>
      <c r="S26" s="150"/>
      <c r="T26" s="150"/>
      <c r="U26" s="150"/>
    </row>
    <row r="27" spans="1:21">
      <c r="A27" s="150"/>
      <c r="B27" s="151"/>
      <c r="C27" s="151"/>
      <c r="D27" s="152"/>
      <c r="E27" s="151"/>
      <c r="F27" s="151"/>
      <c r="G27" s="151"/>
      <c r="H27" s="151"/>
      <c r="I27" s="151"/>
      <c r="J27" s="151"/>
      <c r="K27" s="151"/>
      <c r="L27" s="150"/>
      <c r="M27" s="150"/>
      <c r="N27" s="150"/>
      <c r="O27" s="150"/>
      <c r="P27" s="150"/>
      <c r="Q27" s="150"/>
      <c r="R27" s="150"/>
      <c r="S27" s="150"/>
      <c r="T27" s="150"/>
      <c r="U27" s="150"/>
    </row>
    <row r="28" spans="1:21">
      <c r="A28" s="150"/>
      <c r="B28" s="151"/>
      <c r="C28" s="151"/>
      <c r="D28" s="151"/>
      <c r="E28" s="151"/>
      <c r="F28" s="151"/>
      <c r="G28" s="151"/>
      <c r="H28" s="151"/>
      <c r="I28" s="151"/>
      <c r="J28" s="151"/>
      <c r="K28" s="151"/>
      <c r="L28" s="150"/>
      <c r="M28" s="150"/>
      <c r="N28" s="150"/>
      <c r="O28" s="150"/>
      <c r="P28" s="150"/>
      <c r="Q28" s="150"/>
      <c r="R28" s="150"/>
      <c r="S28" s="150"/>
      <c r="T28" s="150"/>
      <c r="U28" s="150"/>
    </row>
    <row r="29" spans="1:21">
      <c r="A29" s="150"/>
      <c r="B29" s="151"/>
      <c r="C29" s="151"/>
      <c r="D29" s="151"/>
      <c r="E29" s="151"/>
      <c r="F29" s="151"/>
      <c r="G29" s="151"/>
      <c r="H29" s="151"/>
      <c r="I29" s="151"/>
      <c r="J29" s="151"/>
      <c r="K29" s="151"/>
      <c r="L29" s="150"/>
      <c r="M29" s="150"/>
      <c r="N29" s="150"/>
      <c r="O29" s="150"/>
      <c r="P29" s="150"/>
      <c r="Q29" s="150"/>
      <c r="R29" s="150"/>
      <c r="S29" s="150"/>
      <c r="T29" s="150"/>
      <c r="U29" s="150"/>
    </row>
    <row r="30" spans="1:21">
      <c r="A30" s="150"/>
      <c r="B30" s="150"/>
      <c r="C30" s="150"/>
      <c r="D30" s="150"/>
      <c r="E30" s="150"/>
      <c r="F30" s="150"/>
      <c r="G30" s="150"/>
      <c r="H30" s="150"/>
      <c r="I30" s="150"/>
      <c r="J30" s="150"/>
      <c r="K30" s="150"/>
      <c r="L30" s="150"/>
      <c r="M30" s="150"/>
      <c r="N30" s="150"/>
      <c r="O30" s="150"/>
      <c r="P30" s="150"/>
      <c r="Q30" s="150"/>
      <c r="R30" s="150"/>
      <c r="S30" s="150"/>
      <c r="T30" s="150"/>
      <c r="U30" s="150"/>
    </row>
    <row r="31" spans="1:21">
      <c r="A31" s="150"/>
      <c r="B31" s="150"/>
      <c r="C31" s="150"/>
      <c r="D31" s="150"/>
      <c r="E31" s="150"/>
      <c r="F31" s="150"/>
      <c r="G31" s="150"/>
      <c r="H31" s="150"/>
      <c r="I31" s="150"/>
      <c r="J31" s="150"/>
      <c r="K31" s="150"/>
      <c r="L31" s="150"/>
      <c r="M31" s="150"/>
      <c r="N31" s="150"/>
      <c r="O31" s="150"/>
      <c r="P31" s="150"/>
      <c r="Q31" s="150"/>
      <c r="R31" s="150"/>
      <c r="S31" s="150"/>
      <c r="T31" s="150"/>
      <c r="U31" s="150"/>
    </row>
    <row r="32" spans="1:21">
      <c r="A32" s="150"/>
      <c r="B32" s="150"/>
      <c r="C32" s="150"/>
      <c r="D32" s="150"/>
      <c r="E32" s="150"/>
      <c r="F32" s="150"/>
      <c r="G32" s="150"/>
      <c r="H32" s="150"/>
      <c r="I32" s="150"/>
      <c r="J32" s="150"/>
      <c r="K32" s="150"/>
      <c r="L32" s="150"/>
      <c r="M32" s="150"/>
      <c r="N32" s="150"/>
      <c r="O32" s="150"/>
      <c r="P32" s="150"/>
      <c r="Q32" s="150"/>
      <c r="R32" s="150"/>
      <c r="S32" s="150"/>
      <c r="T32" s="150"/>
      <c r="U32" s="150"/>
    </row>
    <row r="33" spans="1:21">
      <c r="A33" s="150"/>
      <c r="B33" s="150"/>
      <c r="C33" s="150"/>
      <c r="D33" s="150"/>
      <c r="E33" s="150"/>
      <c r="F33" s="150"/>
      <c r="G33" s="150"/>
      <c r="H33" s="150"/>
      <c r="I33" s="150"/>
      <c r="J33" s="150"/>
      <c r="K33" s="150"/>
      <c r="L33" s="150"/>
      <c r="M33" s="150"/>
      <c r="N33" s="150"/>
      <c r="O33" s="150"/>
      <c r="P33" s="150"/>
      <c r="Q33" s="150"/>
      <c r="R33" s="150"/>
      <c r="S33" s="150"/>
      <c r="T33" s="150"/>
      <c r="U33" s="150"/>
    </row>
    <row r="34" spans="1:21">
      <c r="A34" s="150"/>
      <c r="B34" s="150"/>
      <c r="C34" s="150"/>
      <c r="D34" s="150"/>
      <c r="E34" s="150"/>
      <c r="F34" s="150"/>
      <c r="G34" s="150"/>
      <c r="H34" s="150"/>
      <c r="I34" s="150"/>
      <c r="J34" s="150"/>
      <c r="K34" s="150"/>
      <c r="L34" s="150"/>
      <c r="M34" s="150"/>
      <c r="N34" s="150"/>
      <c r="O34" s="150"/>
      <c r="P34" s="150"/>
      <c r="Q34" s="150"/>
      <c r="R34" s="150"/>
      <c r="S34" s="150"/>
      <c r="T34" s="150"/>
      <c r="U34" s="150"/>
    </row>
    <row r="35" spans="1:21">
      <c r="A35" s="150"/>
      <c r="B35" s="150"/>
      <c r="C35" s="150"/>
      <c r="D35" s="150"/>
      <c r="E35" s="150"/>
      <c r="F35" s="150"/>
      <c r="G35" s="150"/>
      <c r="H35" s="150"/>
      <c r="I35" s="150"/>
      <c r="J35" s="150"/>
      <c r="K35" s="150"/>
      <c r="L35" s="150"/>
      <c r="M35" s="150"/>
      <c r="N35" s="150"/>
      <c r="O35" s="150"/>
      <c r="P35" s="150"/>
      <c r="Q35" s="150"/>
      <c r="R35" s="150"/>
      <c r="S35" s="150"/>
      <c r="T35" s="150"/>
      <c r="U35" s="150"/>
    </row>
    <row r="36" spans="1:21">
      <c r="A36" s="150"/>
      <c r="B36" s="150"/>
      <c r="C36" s="150"/>
      <c r="D36" s="150"/>
      <c r="E36" s="150"/>
      <c r="F36" s="150"/>
      <c r="G36" s="150"/>
      <c r="H36" s="150"/>
      <c r="I36" s="150"/>
      <c r="J36" s="150"/>
      <c r="K36" s="150"/>
      <c r="L36" s="150"/>
      <c r="M36" s="150"/>
      <c r="N36" s="150"/>
      <c r="O36" s="150"/>
      <c r="P36" s="150"/>
      <c r="Q36" s="150"/>
      <c r="R36" s="150"/>
      <c r="S36" s="150"/>
      <c r="T36" s="150"/>
      <c r="U36" s="150"/>
    </row>
  </sheetData>
  <sheetProtection algorithmName="SHA-512" hashValue="ionsot5VVu7EFbn/Xk0LfZ+ZKnWzjtdiS00CVgsfQfK6SaUBfeuH9/9SmlRefsRHSbdah0dfppfOLP50DNR/Zw==" saltValue="sxrZKgYmI7wdRrsjab70vg==" spinCount="100000" sheet="1" objects="1" scenarios="1" selectLockedCells="1" selectUnlockedCells="1"/>
  <mergeCells count="8">
    <mergeCell ref="J12:J13"/>
    <mergeCell ref="A10:I10"/>
    <mergeCell ref="K12:K13"/>
    <mergeCell ref="B12:B13"/>
    <mergeCell ref="C12:D12"/>
    <mergeCell ref="E12:F12"/>
    <mergeCell ref="G12:H12"/>
    <mergeCell ref="I12:I13"/>
  </mergeCells>
  <conditionalFormatting sqref="B15:J22">
    <cfRule type="notContainsBlanks" dxfId="20" priority="1">
      <formula>LEN(TRIM(B15))&gt;0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16"/>
  <sheetViews>
    <sheetView workbookViewId="0">
      <selection activeCell="B3" sqref="B3"/>
    </sheetView>
  </sheetViews>
  <sheetFormatPr defaultRowHeight="15"/>
  <cols>
    <col min="1" max="1" width="3" bestFit="1" customWidth="1"/>
    <col min="2" max="2" width="120" style="4" customWidth="1"/>
  </cols>
  <sheetData>
    <row r="1" spans="1:2" ht="18.75">
      <c r="A1" s="444" t="s">
        <v>116</v>
      </c>
      <c r="B1" s="444"/>
    </row>
    <row r="2" spans="1:2" s="6" customFormat="1">
      <c r="A2" s="7">
        <v>1</v>
      </c>
      <c r="B2" s="4" t="s">
        <v>117</v>
      </c>
    </row>
    <row r="3" spans="1:2">
      <c r="A3" s="7">
        <v>2</v>
      </c>
      <c r="B3" s="16" t="s">
        <v>118</v>
      </c>
    </row>
    <row r="4" spans="1:2">
      <c r="A4" s="7">
        <v>3</v>
      </c>
      <c r="B4" s="16" t="s">
        <v>119</v>
      </c>
    </row>
    <row r="5" spans="1:2">
      <c r="A5" s="7">
        <v>4</v>
      </c>
      <c r="B5" s="16" t="s">
        <v>120</v>
      </c>
    </row>
    <row r="6" spans="1:2">
      <c r="A6" s="7"/>
      <c r="B6" s="16"/>
    </row>
    <row r="7" spans="1:2" ht="18.75">
      <c r="A7" s="444" t="s">
        <v>121</v>
      </c>
      <c r="B7" s="444"/>
    </row>
    <row r="8" spans="1:2">
      <c r="A8" s="7">
        <v>1</v>
      </c>
      <c r="B8" s="4" t="s">
        <v>122</v>
      </c>
    </row>
    <row r="9" spans="1:2">
      <c r="A9" s="7">
        <v>2</v>
      </c>
      <c r="B9" s="16" t="s">
        <v>123</v>
      </c>
    </row>
    <row r="10" spans="1:2">
      <c r="A10" s="7">
        <v>3</v>
      </c>
      <c r="B10" s="17" t="s">
        <v>124</v>
      </c>
    </row>
    <row r="11" spans="1:2">
      <c r="A11" s="7">
        <v>4</v>
      </c>
      <c r="B11" s="4" t="s">
        <v>125</v>
      </c>
    </row>
    <row r="12" spans="1:2">
      <c r="A12" s="7"/>
    </row>
    <row r="13" spans="1:2" s="6" customFormat="1">
      <c r="A13" s="7"/>
      <c r="B13" s="4" t="s">
        <v>126</v>
      </c>
    </row>
    <row r="14" spans="1:2">
      <c r="A14" s="7"/>
      <c r="B14" s="16"/>
    </row>
    <row r="15" spans="1:2">
      <c r="A15" s="7"/>
    </row>
    <row r="16" spans="1:2">
      <c r="A16" s="6"/>
      <c r="B16" s="18"/>
    </row>
  </sheetData>
  <mergeCells count="2">
    <mergeCell ref="A1:B1"/>
    <mergeCell ref="A7:B7"/>
  </mergeCells>
  <hyperlinks>
    <hyperlink ref="B3" location="'2965D'!F2" display="Enter aircraft number and date along the top" xr:uid="{00000000-0004-0000-0200-000001000000}"/>
    <hyperlink ref="B9" r:id="rId1" xr:uid="{1F4A5D51-8738-4126-B8E6-03EABCF2287C}"/>
    <hyperlink ref="B5" location="'2965D'!T10" display="Add the last four digits of the AC commander into the AF initials column" xr:uid="{5A3BE80A-D60E-410E-A416-400AC4AFFD87}"/>
    <hyperlink ref="B4" location="'2965D'!C4" display="Add launches and hours before flight from the F724." xr:uid="{00000000-0004-0000-0200-00000200000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D25"/>
  <sheetViews>
    <sheetView topLeftCell="A5" workbookViewId="0">
      <selection activeCell="B26" sqref="B26"/>
    </sheetView>
  </sheetViews>
  <sheetFormatPr defaultColWidth="9.28515625" defaultRowHeight="15"/>
  <cols>
    <col min="1" max="1" width="8.42578125" style="15" bestFit="1" customWidth="1"/>
    <col min="2" max="2" width="11.42578125" style="9" bestFit="1" customWidth="1"/>
    <col min="3" max="3" width="8.5703125" style="9" bestFit="1" customWidth="1"/>
    <col min="4" max="4" width="148.42578125" style="9" customWidth="1"/>
    <col min="5" max="16384" width="9.28515625" style="9"/>
  </cols>
  <sheetData>
    <row r="1" spans="1:4" s="13" customFormat="1" ht="15.75">
      <c r="A1" s="14" t="s">
        <v>127</v>
      </c>
      <c r="B1" s="12" t="s">
        <v>4</v>
      </c>
      <c r="C1" s="12" t="s">
        <v>128</v>
      </c>
      <c r="D1" s="12" t="s">
        <v>129</v>
      </c>
    </row>
    <row r="2" spans="1:4" ht="60">
      <c r="A2" s="15" t="s">
        <v>130</v>
      </c>
      <c r="B2" s="10">
        <v>45027</v>
      </c>
      <c r="C2" s="9" t="s">
        <v>131</v>
      </c>
      <c r="D2" s="11" t="s">
        <v>132</v>
      </c>
    </row>
    <row r="3" spans="1:4">
      <c r="A3" s="15" t="s">
        <v>133</v>
      </c>
      <c r="B3" s="10">
        <v>45030</v>
      </c>
      <c r="C3" s="9" t="s">
        <v>131</v>
      </c>
      <c r="D3" s="9" t="s">
        <v>134</v>
      </c>
    </row>
    <row r="4" spans="1:4">
      <c r="A4" s="15" t="s">
        <v>135</v>
      </c>
      <c r="B4" s="10">
        <v>45074</v>
      </c>
      <c r="C4" s="9" t="s">
        <v>131</v>
      </c>
      <c r="D4" s="9" t="s">
        <v>136</v>
      </c>
    </row>
    <row r="5" spans="1:4" ht="90">
      <c r="A5" s="15" t="s">
        <v>137</v>
      </c>
      <c r="B5" s="10">
        <v>45088</v>
      </c>
      <c r="C5" s="9" t="s">
        <v>138</v>
      </c>
      <c r="D5" s="11" t="s">
        <v>139</v>
      </c>
    </row>
    <row r="6" spans="1:4">
      <c r="A6" s="15" t="s">
        <v>140</v>
      </c>
      <c r="B6" s="10">
        <v>45101</v>
      </c>
      <c r="C6" s="9" t="s">
        <v>138</v>
      </c>
      <c r="D6" s="9" t="s">
        <v>141</v>
      </c>
    </row>
    <row r="7" spans="1:4" ht="60">
      <c r="A7" s="15" t="s">
        <v>142</v>
      </c>
      <c r="B7" s="10">
        <v>45136</v>
      </c>
      <c r="C7" s="9" t="s">
        <v>131</v>
      </c>
      <c r="D7" s="11" t="s">
        <v>143</v>
      </c>
    </row>
    <row r="8" spans="1:4" ht="45">
      <c r="A8" s="15" t="s">
        <v>144</v>
      </c>
      <c r="B8" s="10">
        <v>45112</v>
      </c>
      <c r="C8" s="9" t="s">
        <v>145</v>
      </c>
      <c r="D8" s="11" t="s">
        <v>146</v>
      </c>
    </row>
    <row r="9" spans="1:4">
      <c r="A9" s="15" t="s">
        <v>147</v>
      </c>
      <c r="B9" s="10">
        <v>45513</v>
      </c>
      <c r="C9" s="9" t="s">
        <v>145</v>
      </c>
      <c r="D9" s="9" t="s">
        <v>148</v>
      </c>
    </row>
    <row r="10" spans="1:4" ht="45">
      <c r="A10" s="15" t="s">
        <v>149</v>
      </c>
      <c r="B10" s="10">
        <v>45522</v>
      </c>
      <c r="C10" s="9" t="s">
        <v>131</v>
      </c>
      <c r="D10" s="11" t="s">
        <v>150</v>
      </c>
    </row>
    <row r="11" spans="1:4" ht="30">
      <c r="A11" s="15" t="s">
        <v>151</v>
      </c>
      <c r="B11" s="10">
        <v>45560</v>
      </c>
      <c r="C11" s="9" t="s">
        <v>131</v>
      </c>
      <c r="D11" s="11" t="s">
        <v>152</v>
      </c>
    </row>
    <row r="12" spans="1:4">
      <c r="A12" s="15" t="s">
        <v>153</v>
      </c>
      <c r="B12" s="10">
        <v>45564</v>
      </c>
      <c r="C12" s="9" t="s">
        <v>131</v>
      </c>
      <c r="D12" s="9" t="s">
        <v>154</v>
      </c>
    </row>
    <row r="13" spans="1:4">
      <c r="A13" s="15" t="s">
        <v>155</v>
      </c>
      <c r="B13" s="10">
        <v>45564</v>
      </c>
      <c r="C13" s="9" t="s">
        <v>131</v>
      </c>
      <c r="D13" s="9" t="s">
        <v>156</v>
      </c>
    </row>
    <row r="14" spans="1:4">
      <c r="A14" s="15" t="s">
        <v>157</v>
      </c>
      <c r="B14" s="10">
        <v>45633</v>
      </c>
      <c r="C14" s="9" t="s">
        <v>158</v>
      </c>
      <c r="D14" s="9" t="s">
        <v>159</v>
      </c>
    </row>
    <row r="15" spans="1:4">
      <c r="A15" s="15" t="s">
        <v>160</v>
      </c>
      <c r="B15" s="10">
        <v>45633</v>
      </c>
      <c r="C15" s="9" t="s">
        <v>158</v>
      </c>
      <c r="D15" s="9" t="s">
        <v>161</v>
      </c>
    </row>
    <row r="16" spans="1:4">
      <c r="A16" s="15" t="s">
        <v>162</v>
      </c>
      <c r="B16" s="10">
        <v>45642</v>
      </c>
      <c r="C16" s="9" t="s">
        <v>131</v>
      </c>
      <c r="D16" s="9" t="s">
        <v>163</v>
      </c>
    </row>
    <row r="17" spans="1:4" ht="45">
      <c r="A17" s="15" t="s">
        <v>164</v>
      </c>
      <c r="B17" s="10">
        <v>45699</v>
      </c>
      <c r="C17" s="9" t="s">
        <v>131</v>
      </c>
      <c r="D17" s="11" t="s">
        <v>165</v>
      </c>
    </row>
    <row r="18" spans="1:4" ht="45">
      <c r="A18" s="15" t="s">
        <v>166</v>
      </c>
      <c r="B18" s="10">
        <v>45703</v>
      </c>
      <c r="C18" s="9" t="s">
        <v>131</v>
      </c>
      <c r="D18" s="11" t="s">
        <v>167</v>
      </c>
    </row>
    <row r="19" spans="1:4">
      <c r="A19" s="15" t="s">
        <v>168</v>
      </c>
      <c r="B19" s="10">
        <v>45725</v>
      </c>
      <c r="C19" s="9" t="s">
        <v>138</v>
      </c>
      <c r="D19" s="9" t="s">
        <v>169</v>
      </c>
    </row>
    <row r="20" spans="1:4">
      <c r="A20" s="15" t="s">
        <v>170</v>
      </c>
      <c r="B20" s="10">
        <v>45838</v>
      </c>
      <c r="C20" s="9" t="s">
        <v>131</v>
      </c>
      <c r="D20" s="9" t="s">
        <v>171</v>
      </c>
    </row>
    <row r="21" spans="1:4">
      <c r="A21" s="15" t="s">
        <v>172</v>
      </c>
      <c r="B21" s="10">
        <v>45940</v>
      </c>
      <c r="C21" s="9" t="s">
        <v>131</v>
      </c>
      <c r="D21" s="9" t="s">
        <v>173</v>
      </c>
    </row>
    <row r="22" spans="1:4">
      <c r="A22" s="15" t="s">
        <v>174</v>
      </c>
      <c r="B22" s="10">
        <v>46120</v>
      </c>
      <c r="C22" s="9" t="s">
        <v>131</v>
      </c>
      <c r="D22" s="9" t="s">
        <v>175</v>
      </c>
    </row>
    <row r="23" spans="1:4">
      <c r="A23" s="15" t="s">
        <v>176</v>
      </c>
      <c r="B23" s="10">
        <v>46199</v>
      </c>
      <c r="C23" s="9" t="s">
        <v>145</v>
      </c>
      <c r="D23" s="9" t="s">
        <v>177</v>
      </c>
    </row>
    <row r="24" spans="1:4">
      <c r="A24" s="15" t="s">
        <v>287</v>
      </c>
      <c r="B24" s="10">
        <v>46273</v>
      </c>
      <c r="C24" s="9" t="s">
        <v>145</v>
      </c>
      <c r="D24" s="9" t="s">
        <v>178</v>
      </c>
    </row>
    <row r="25" spans="1:4">
      <c r="A25" s="15" t="s">
        <v>288</v>
      </c>
      <c r="B25" s="10">
        <v>46275</v>
      </c>
      <c r="C25" s="9" t="s">
        <v>289</v>
      </c>
      <c r="D25" s="9" t="s">
        <v>290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F44"/>
  <sheetViews>
    <sheetView workbookViewId="0">
      <selection activeCell="D29" sqref="D29"/>
    </sheetView>
  </sheetViews>
  <sheetFormatPr defaultRowHeight="15"/>
  <cols>
    <col min="1" max="1" width="11.42578125" bestFit="1" customWidth="1"/>
    <col min="2" max="2" width="12.28515625" bestFit="1" customWidth="1"/>
    <col min="3" max="3" width="11.140625" bestFit="1" customWidth="1"/>
    <col min="4" max="4" width="16.42578125" bestFit="1" customWidth="1"/>
    <col min="5" max="5" width="13.5703125" bestFit="1" customWidth="1"/>
    <col min="6" max="6" width="21.5703125" customWidth="1"/>
    <col min="8" max="8" width="10.28515625" customWidth="1"/>
  </cols>
  <sheetData>
    <row r="1" spans="1:6">
      <c r="A1" t="s">
        <v>179</v>
      </c>
      <c r="B1" t="s">
        <v>180</v>
      </c>
      <c r="D1" s="6" t="s">
        <v>25</v>
      </c>
      <c r="F1" t="s">
        <v>181</v>
      </c>
    </row>
    <row r="2" spans="1:6">
      <c r="A2" t="s">
        <v>182</v>
      </c>
      <c r="B2" t="s">
        <v>183</v>
      </c>
      <c r="D2" t="s">
        <v>17</v>
      </c>
      <c r="F2" t="s">
        <v>184</v>
      </c>
    </row>
    <row r="3" spans="1:6">
      <c r="A3" t="s">
        <v>2</v>
      </c>
      <c r="B3" t="s">
        <v>185</v>
      </c>
      <c r="D3" t="s">
        <v>18</v>
      </c>
      <c r="F3" t="s">
        <v>186</v>
      </c>
    </row>
    <row r="4" spans="1:6">
      <c r="A4" t="s">
        <v>187</v>
      </c>
      <c r="B4" t="s">
        <v>188</v>
      </c>
      <c r="D4" t="s">
        <v>19</v>
      </c>
      <c r="F4" t="s">
        <v>189</v>
      </c>
    </row>
    <row r="5" spans="1:6">
      <c r="A5" t="s">
        <v>190</v>
      </c>
      <c r="B5" t="s">
        <v>191</v>
      </c>
      <c r="D5" t="s">
        <v>47</v>
      </c>
      <c r="F5" t="s">
        <v>192</v>
      </c>
    </row>
    <row r="6" spans="1:6">
      <c r="A6" t="s">
        <v>193</v>
      </c>
      <c r="B6" t="s">
        <v>194</v>
      </c>
      <c r="D6" t="s">
        <v>195</v>
      </c>
      <c r="F6" t="s">
        <v>196</v>
      </c>
    </row>
    <row r="7" spans="1:6">
      <c r="A7" t="s">
        <v>197</v>
      </c>
      <c r="B7" t="s">
        <v>198</v>
      </c>
      <c r="D7" t="s">
        <v>51</v>
      </c>
      <c r="F7" t="s">
        <v>199</v>
      </c>
    </row>
    <row r="8" spans="1:6">
      <c r="A8" t="s">
        <v>200</v>
      </c>
      <c r="B8" t="s">
        <v>201</v>
      </c>
      <c r="F8" t="s">
        <v>202</v>
      </c>
    </row>
    <row r="9" spans="1:6">
      <c r="A9" t="s">
        <v>203</v>
      </c>
      <c r="B9" t="s">
        <v>204</v>
      </c>
      <c r="F9" t="s">
        <v>205</v>
      </c>
    </row>
    <row r="10" spans="1:6">
      <c r="A10" t="s">
        <v>206</v>
      </c>
      <c r="B10" t="s">
        <v>207</v>
      </c>
    </row>
    <row r="11" spans="1:6">
      <c r="A11" t="s">
        <v>208</v>
      </c>
      <c r="B11" t="s">
        <v>209</v>
      </c>
    </row>
    <row r="12" spans="1:6">
      <c r="A12" t="s">
        <v>210</v>
      </c>
      <c r="B12" t="s">
        <v>211</v>
      </c>
    </row>
    <row r="16" spans="1:6">
      <c r="A16" t="s">
        <v>212</v>
      </c>
      <c r="B16" t="s">
        <v>213</v>
      </c>
      <c r="C16" t="s">
        <v>214</v>
      </c>
      <c r="E16" s="6"/>
    </row>
    <row r="17" spans="1:3">
      <c r="A17" s="3" t="s">
        <v>215</v>
      </c>
      <c r="B17" t="s">
        <v>145</v>
      </c>
      <c r="C17" t="s">
        <v>46</v>
      </c>
    </row>
    <row r="18" spans="1:3">
      <c r="A18" s="3" t="s">
        <v>216</v>
      </c>
      <c r="B18" t="s">
        <v>217</v>
      </c>
      <c r="C18" t="s">
        <v>50</v>
      </c>
    </row>
    <row r="19" spans="1:3">
      <c r="A19" s="3" t="s">
        <v>218</v>
      </c>
      <c r="B19" t="s">
        <v>219</v>
      </c>
      <c r="C19" t="s">
        <v>220</v>
      </c>
    </row>
    <row r="20" spans="1:3">
      <c r="A20" s="3" t="s">
        <v>221</v>
      </c>
      <c r="B20" t="s">
        <v>222</v>
      </c>
      <c r="C20" t="s">
        <v>223</v>
      </c>
    </row>
    <row r="21" spans="1:3">
      <c r="A21" s="3" t="s">
        <v>49</v>
      </c>
      <c r="B21" t="s">
        <v>224</v>
      </c>
      <c r="C21" t="s">
        <v>45</v>
      </c>
    </row>
    <row r="22" spans="1:3">
      <c r="A22" s="3"/>
      <c r="B22" t="s">
        <v>225</v>
      </c>
      <c r="C22" t="s">
        <v>226</v>
      </c>
    </row>
    <row r="23" spans="1:3">
      <c r="A23" s="3" t="s">
        <v>227</v>
      </c>
      <c r="B23" t="s">
        <v>228</v>
      </c>
      <c r="C23" t="s">
        <v>229</v>
      </c>
    </row>
    <row r="24" spans="1:3">
      <c r="A24" s="3"/>
      <c r="B24" t="s">
        <v>230</v>
      </c>
      <c r="C24" t="s">
        <v>231</v>
      </c>
    </row>
    <row r="25" spans="1:3">
      <c r="A25" s="3"/>
      <c r="B25" t="s">
        <v>232</v>
      </c>
      <c r="C25" t="s">
        <v>233</v>
      </c>
    </row>
    <row r="26" spans="1:3">
      <c r="A26" s="3" t="s">
        <v>234</v>
      </c>
      <c r="B26" t="s">
        <v>235</v>
      </c>
      <c r="C26" t="s">
        <v>236</v>
      </c>
    </row>
    <row r="27" spans="1:3">
      <c r="A27" s="3"/>
      <c r="B27" t="s">
        <v>237</v>
      </c>
      <c r="C27" t="s">
        <v>238</v>
      </c>
    </row>
    <row r="28" spans="1:3">
      <c r="A28" s="3" t="s">
        <v>41</v>
      </c>
      <c r="B28" t="s">
        <v>131</v>
      </c>
      <c r="C28" t="s">
        <v>38</v>
      </c>
    </row>
    <row r="29" spans="1:3">
      <c r="A29" s="3" t="s">
        <v>239</v>
      </c>
      <c r="B29" t="s">
        <v>240</v>
      </c>
      <c r="C29" t="s">
        <v>241</v>
      </c>
    </row>
    <row r="30" spans="1:3">
      <c r="A30" s="3" t="s">
        <v>242</v>
      </c>
      <c r="B30" t="s">
        <v>243</v>
      </c>
      <c r="C30" t="s">
        <v>244</v>
      </c>
    </row>
    <row r="31" spans="1:3">
      <c r="A31" s="3"/>
      <c r="B31" t="s">
        <v>245</v>
      </c>
      <c r="C31" t="s">
        <v>246</v>
      </c>
    </row>
    <row r="32" spans="1:3">
      <c r="A32" s="3"/>
      <c r="B32" t="s">
        <v>247</v>
      </c>
      <c r="C32" t="s">
        <v>248</v>
      </c>
    </row>
    <row r="33" spans="1:3">
      <c r="A33" s="3" t="s">
        <v>249</v>
      </c>
      <c r="B33" t="s">
        <v>247</v>
      </c>
      <c r="C33" t="s">
        <v>250</v>
      </c>
    </row>
    <row r="34" spans="1:3">
      <c r="A34" s="3" t="s">
        <v>251</v>
      </c>
      <c r="B34" t="s">
        <v>252</v>
      </c>
      <c r="C34" t="s">
        <v>253</v>
      </c>
    </row>
    <row r="35" spans="1:3">
      <c r="A35" s="3" t="s">
        <v>254</v>
      </c>
      <c r="B35" t="s">
        <v>255</v>
      </c>
      <c r="C35" t="s">
        <v>256</v>
      </c>
    </row>
    <row r="36" spans="1:3">
      <c r="A36" s="3"/>
      <c r="B36" t="s">
        <v>257</v>
      </c>
      <c r="C36" t="s">
        <v>258</v>
      </c>
    </row>
    <row r="37" spans="1:3">
      <c r="A37" s="3" t="s">
        <v>259</v>
      </c>
      <c r="B37" t="s">
        <v>260</v>
      </c>
      <c r="C37" t="s">
        <v>261</v>
      </c>
    </row>
    <row r="38" spans="1:3">
      <c r="A38" s="3" t="s">
        <v>262</v>
      </c>
      <c r="B38" t="s">
        <v>263</v>
      </c>
      <c r="C38" t="s">
        <v>264</v>
      </c>
    </row>
    <row r="39" spans="1:3">
      <c r="A39" s="3" t="s">
        <v>265</v>
      </c>
      <c r="B39" t="s">
        <v>266</v>
      </c>
      <c r="C39" t="s">
        <v>267</v>
      </c>
    </row>
    <row r="40" spans="1:3">
      <c r="A40" s="3" t="s">
        <v>268</v>
      </c>
      <c r="B40" t="s">
        <v>269</v>
      </c>
      <c r="C40" t="s">
        <v>270</v>
      </c>
    </row>
    <row r="41" spans="1:3">
      <c r="A41" s="3" t="s">
        <v>271</v>
      </c>
      <c r="B41" t="s">
        <v>138</v>
      </c>
      <c r="C41" t="s">
        <v>42</v>
      </c>
    </row>
    <row r="42" spans="1:3">
      <c r="A42" s="3"/>
      <c r="B42" t="s">
        <v>272</v>
      </c>
      <c r="C42" t="s">
        <v>273</v>
      </c>
    </row>
    <row r="43" spans="1:3">
      <c r="A43" s="3"/>
      <c r="B43" t="s">
        <v>274</v>
      </c>
      <c r="C43" t="s">
        <v>275</v>
      </c>
    </row>
    <row r="44" spans="1:3">
      <c r="A44" s="3"/>
      <c r="B44" t="s">
        <v>276</v>
      </c>
      <c r="C44" t="s">
        <v>277</v>
      </c>
    </row>
  </sheetData>
  <sortState xmlns:xlrd2="http://schemas.microsoft.com/office/spreadsheetml/2017/richdata2" ref="B17:B55">
    <sortCondition ref="B17:B55"/>
  </sortState>
  <pageMargins left="0.7" right="0.7" top="0.75" bottom="0.75" header="0.3" footer="0.3"/>
  <pageSetup paperSize="9" orientation="portrait"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24986-CA03-4A92-85CA-5F56E3B27560}">
  <dimension ref="A1:L31"/>
  <sheetViews>
    <sheetView workbookViewId="0">
      <selection activeCell="A32" sqref="A32:XFD33"/>
    </sheetView>
  </sheetViews>
  <sheetFormatPr defaultRowHeight="15"/>
  <cols>
    <col min="1" max="1" width="21" style="3" customWidth="1"/>
    <col min="2" max="3" width="16.7109375" style="3" customWidth="1"/>
    <col min="4" max="4" width="15.42578125" style="3" customWidth="1"/>
    <col min="5" max="5" width="15.5703125" style="1" bestFit="1" customWidth="1"/>
    <col min="6" max="6" width="15" style="1" customWidth="1"/>
    <col min="7" max="7" width="13.28515625" style="2" bestFit="1" customWidth="1"/>
    <col min="8" max="8" width="11" style="2" customWidth="1"/>
    <col min="9" max="10" width="11" style="3" customWidth="1"/>
    <col min="11" max="11" width="12" style="5" customWidth="1"/>
    <col min="12" max="12" width="12" customWidth="1"/>
  </cols>
  <sheetData>
    <row r="1" spans="1:12" s="4" customFormat="1">
      <c r="A1" s="4" t="s">
        <v>278</v>
      </c>
      <c r="B1" s="4" t="s">
        <v>279</v>
      </c>
      <c r="C1" s="4" t="s">
        <v>25</v>
      </c>
      <c r="D1" s="4" t="s">
        <v>280</v>
      </c>
      <c r="E1" s="4" t="s">
        <v>281</v>
      </c>
      <c r="F1" s="4" t="s">
        <v>282</v>
      </c>
      <c r="G1" s="4" t="s">
        <v>13</v>
      </c>
      <c r="H1" s="4" t="s">
        <v>15</v>
      </c>
      <c r="I1" s="4" t="s">
        <v>284</v>
      </c>
      <c r="J1" s="4" t="s">
        <v>4</v>
      </c>
      <c r="K1" s="4" t="s">
        <v>33</v>
      </c>
      <c r="L1" s="4" t="s">
        <v>34</v>
      </c>
    </row>
    <row r="2" spans="1:12">
      <c r="A2" s="3" t="str">
        <f>'2965B'!B10</f>
        <v>Jarrold</v>
      </c>
      <c r="B2" s="3" t="str">
        <f>'2965B'!C10</f>
        <v>Bloggs</v>
      </c>
      <c r="C2" t="str">
        <f>'2965B'!D10</f>
        <v>GIF</v>
      </c>
      <c r="D2" s="1">
        <f>'2965B'!E10</f>
        <v>0.375</v>
      </c>
      <c r="E2" s="1">
        <f>'2965B'!F10</f>
        <v>0.37847222222222221</v>
      </c>
      <c r="F2">
        <f>ROUND((Table10[[#This Row],[LandingTime]]-Table10[[#This Row],[TakeOffTime]])*1440,0)</f>
        <v>5</v>
      </c>
      <c r="G2">
        <f>'2965B'!S10</f>
        <v>1</v>
      </c>
      <c r="H2" t="b">
        <f>'2965B'!P10</f>
        <v>0</v>
      </c>
      <c r="I2" t="str">
        <f>'2965B'!$F$2</f>
        <v>ZE495</v>
      </c>
      <c r="J2" s="5">
        <f>'2965B'!$O$2</f>
        <v>46275</v>
      </c>
      <c r="K2" t="b">
        <f>'2965B'!L10</f>
        <v>0</v>
      </c>
      <c r="L2" t="b">
        <f>'2965B'!M10</f>
        <v>0</v>
      </c>
    </row>
    <row r="3" spans="1:12">
      <c r="A3" s="3" t="str">
        <f>'2965B'!B11</f>
        <v>Winslow, C</v>
      </c>
      <c r="B3" s="3" t="str">
        <f>'2965B'!C11</f>
        <v>Joe</v>
      </c>
      <c r="C3" t="str">
        <f>'2965B'!D11</f>
        <v>GIF</v>
      </c>
      <c r="D3" s="1">
        <f>'2965B'!E11</f>
        <v>0.38194444444444442</v>
      </c>
      <c r="E3" s="1">
        <f>'2965B'!F11</f>
        <v>0.38541666666666669</v>
      </c>
      <c r="F3">
        <f>ROUND((Table10[[#This Row],[LandingTime]]-Table10[[#This Row],[TakeOffTime]])*1440,0)</f>
        <v>5</v>
      </c>
      <c r="G3">
        <f>'2965B'!S11</f>
        <v>1</v>
      </c>
      <c r="H3" t="b">
        <f>'2965B'!P11</f>
        <v>0</v>
      </c>
      <c r="I3" t="str">
        <f>'2965B'!$F$2</f>
        <v>ZE495</v>
      </c>
      <c r="J3" s="5">
        <f>'2965B'!$O$2</f>
        <v>46275</v>
      </c>
      <c r="K3" t="b">
        <f>'2965B'!L11</f>
        <v>0</v>
      </c>
      <c r="L3" t="b">
        <f>'2965B'!M11</f>
        <v>0</v>
      </c>
    </row>
    <row r="4" spans="1:12">
      <c r="A4" s="3" t="str">
        <f>'2965B'!B12</f>
        <v>Bramwell</v>
      </c>
      <c r="B4" s="3" t="str">
        <f>'2965B'!C12</f>
        <v>Ansell</v>
      </c>
      <c r="C4" t="str">
        <f>'2965B'!D12</f>
        <v>SCT QGI</v>
      </c>
      <c r="D4" s="1">
        <f>'2965B'!E12</f>
        <v>0.3888888888888889</v>
      </c>
      <c r="E4" s="1">
        <f>'2965B'!F12</f>
        <v>0.40625</v>
      </c>
      <c r="F4">
        <f>ROUND((Table10[[#This Row],[LandingTime]]-Table10[[#This Row],[TakeOffTime]])*1440,0)</f>
        <v>25</v>
      </c>
      <c r="G4">
        <f>'2965B'!S12</f>
        <v>6</v>
      </c>
      <c r="H4" t="b">
        <f>'2965B'!P12</f>
        <v>0</v>
      </c>
      <c r="I4" t="str">
        <f>'2965B'!$F$2</f>
        <v>ZE495</v>
      </c>
      <c r="J4" s="5">
        <f>'2965B'!$O$2</f>
        <v>46275</v>
      </c>
      <c r="K4" t="b">
        <f>'2965B'!L12</f>
        <v>0</v>
      </c>
      <c r="L4" t="b">
        <f>'2965B'!M12</f>
        <v>1</v>
      </c>
    </row>
    <row r="5" spans="1:12">
      <c r="A5" s="3" t="str">
        <f>'2965B'!B13</f>
        <v>Bramwell</v>
      </c>
      <c r="B5" s="3" t="str">
        <f>'2965B'!C13</f>
        <v>Ansell</v>
      </c>
      <c r="C5" t="str">
        <f>'2965B'!D13</f>
        <v>SCT QGI</v>
      </c>
      <c r="D5" s="1">
        <f>'2965B'!E13</f>
        <v>0.40972222222222221</v>
      </c>
      <c r="E5" s="1">
        <f>'2965B'!F13</f>
        <v>0.41041666666666665</v>
      </c>
      <c r="F5">
        <f>ROUND((Table10[[#This Row],[LandingTime]]-Table10[[#This Row],[TakeOffTime]])*1440,0)</f>
        <v>1</v>
      </c>
      <c r="G5">
        <f>'2965B'!S13</f>
        <v>1</v>
      </c>
      <c r="H5" t="b">
        <f>'2965B'!P13</f>
        <v>1</v>
      </c>
      <c r="I5" t="str">
        <f>'2965B'!$F$2</f>
        <v>ZE495</v>
      </c>
      <c r="J5" s="5">
        <f>'2965B'!$O$2</f>
        <v>46275</v>
      </c>
      <c r="K5" t="b">
        <f>'2965B'!L13</f>
        <v>0</v>
      </c>
      <c r="L5" t="b">
        <f>'2965B'!M13</f>
        <v>1</v>
      </c>
    </row>
    <row r="6" spans="1:12">
      <c r="A6" s="3" t="str">
        <f>'2965B'!B14</f>
        <v>Ashby</v>
      </c>
      <c r="B6" s="3" t="str">
        <f>'2965B'!C14</f>
        <v>Bloggs</v>
      </c>
      <c r="C6" t="str">
        <f>'2965B'!D14</f>
        <v>PAX</v>
      </c>
      <c r="D6" s="1">
        <f>'2965B'!E14</f>
        <v>0.41666666666666669</v>
      </c>
      <c r="E6" s="1">
        <f>'2965B'!F14</f>
        <v>0.4201388888888889</v>
      </c>
      <c r="F6">
        <f>ROUND((Table10[[#This Row],[LandingTime]]-Table10[[#This Row],[TakeOffTime]])*1440,0)</f>
        <v>5</v>
      </c>
      <c r="G6">
        <f>'2965B'!S14</f>
        <v>1</v>
      </c>
      <c r="H6" t="b">
        <f>'2965B'!P14</f>
        <v>0</v>
      </c>
      <c r="I6" t="str">
        <f>'2965B'!$F$2</f>
        <v>ZE495</v>
      </c>
      <c r="J6" s="5">
        <f>'2965B'!$O$2</f>
        <v>46275</v>
      </c>
      <c r="K6" t="b">
        <f>'2965B'!L14</f>
        <v>0</v>
      </c>
      <c r="L6" t="b">
        <f>'2965B'!M14</f>
        <v>0</v>
      </c>
    </row>
    <row r="7" spans="1:12">
      <c r="A7" s="3">
        <f>'2965B'!B15</f>
        <v>0</v>
      </c>
      <c r="B7" s="3">
        <f>'2965B'!C15</f>
        <v>0</v>
      </c>
      <c r="C7">
        <f>'2965B'!D15</f>
        <v>0</v>
      </c>
      <c r="D7" s="1">
        <f>'2965B'!E15</f>
        <v>0</v>
      </c>
      <c r="E7" s="1">
        <f>'2965B'!F15</f>
        <v>0</v>
      </c>
      <c r="F7">
        <f>ROUND((Table10[[#This Row],[LandingTime]]-Table10[[#This Row],[TakeOffTime]])*1440,0)</f>
        <v>0</v>
      </c>
      <c r="G7" t="str">
        <f>'2965B'!S15</f>
        <v/>
      </c>
      <c r="H7" t="b">
        <f>'2965B'!P15</f>
        <v>0</v>
      </c>
      <c r="I7" t="str">
        <f>'2965B'!$F$2</f>
        <v>ZE495</v>
      </c>
      <c r="J7" s="5">
        <f>'2965B'!$O$2</f>
        <v>46275</v>
      </c>
      <c r="K7" t="b">
        <f>'2965B'!L15</f>
        <v>0</v>
      </c>
      <c r="L7" t="b">
        <f>'2965B'!M15</f>
        <v>0</v>
      </c>
    </row>
    <row r="8" spans="1:12">
      <c r="A8" s="3">
        <f>'2965B'!B16</f>
        <v>0</v>
      </c>
      <c r="B8" s="3">
        <f>'2965B'!C16</f>
        <v>0</v>
      </c>
      <c r="C8">
        <f>'2965B'!D16</f>
        <v>0</v>
      </c>
      <c r="D8" s="1">
        <f>'2965B'!E16</f>
        <v>0</v>
      </c>
      <c r="E8" s="1">
        <f>'2965B'!F16</f>
        <v>0</v>
      </c>
      <c r="F8">
        <f>ROUND((Table10[[#This Row],[LandingTime]]-Table10[[#This Row],[TakeOffTime]])*1440,0)</f>
        <v>0</v>
      </c>
      <c r="G8" t="str">
        <f>'2965B'!S16</f>
        <v/>
      </c>
      <c r="H8" t="b">
        <f>'2965B'!P16</f>
        <v>0</v>
      </c>
      <c r="I8" t="str">
        <f>'2965B'!$F$2</f>
        <v>ZE495</v>
      </c>
      <c r="J8" s="5">
        <f>'2965B'!$O$2</f>
        <v>46275</v>
      </c>
      <c r="K8" t="b">
        <f>'2965B'!L16</f>
        <v>0</v>
      </c>
      <c r="L8" t="b">
        <f>'2965B'!M16</f>
        <v>0</v>
      </c>
    </row>
    <row r="9" spans="1:12">
      <c r="A9" s="3">
        <f>'2965B'!B17</f>
        <v>0</v>
      </c>
      <c r="B9" s="3">
        <f>'2965B'!C17</f>
        <v>0</v>
      </c>
      <c r="C9">
        <f>'2965B'!D17</f>
        <v>0</v>
      </c>
      <c r="D9" s="1">
        <f>'2965B'!E17</f>
        <v>0</v>
      </c>
      <c r="E9" s="1">
        <f>'2965B'!F17</f>
        <v>0</v>
      </c>
      <c r="F9">
        <f>ROUND((Table10[[#This Row],[LandingTime]]-Table10[[#This Row],[TakeOffTime]])*1440,0)</f>
        <v>0</v>
      </c>
      <c r="G9" t="str">
        <f>'2965B'!S17</f>
        <v/>
      </c>
      <c r="H9" t="b">
        <f>'2965B'!P17</f>
        <v>0</v>
      </c>
      <c r="I9" t="str">
        <f>'2965B'!$F$2</f>
        <v>ZE495</v>
      </c>
      <c r="J9" s="5">
        <f>'2965B'!$O$2</f>
        <v>46275</v>
      </c>
      <c r="K9" t="b">
        <f>'2965B'!L17</f>
        <v>0</v>
      </c>
      <c r="L9" t="b">
        <f>'2965B'!M17</f>
        <v>0</v>
      </c>
    </row>
    <row r="10" spans="1:12">
      <c r="A10" s="3">
        <f>'2965B'!B18</f>
        <v>0</v>
      </c>
      <c r="B10" s="3">
        <f>'2965B'!C18</f>
        <v>0</v>
      </c>
      <c r="C10">
        <f>'2965B'!D18</f>
        <v>0</v>
      </c>
      <c r="D10" s="1">
        <f>'2965B'!E18</f>
        <v>0</v>
      </c>
      <c r="E10" s="1">
        <f>'2965B'!F18</f>
        <v>0</v>
      </c>
      <c r="F10">
        <f>ROUND((Table10[[#This Row],[LandingTime]]-Table10[[#This Row],[TakeOffTime]])*1440,0)</f>
        <v>0</v>
      </c>
      <c r="G10" t="str">
        <f>'2965B'!S18</f>
        <v/>
      </c>
      <c r="H10" t="b">
        <f>'2965B'!P18</f>
        <v>0</v>
      </c>
      <c r="I10" t="str">
        <f>'2965B'!$F$2</f>
        <v>ZE495</v>
      </c>
      <c r="J10" s="5">
        <f>'2965B'!$O$2</f>
        <v>46275</v>
      </c>
      <c r="K10" t="b">
        <f>'2965B'!L18</f>
        <v>0</v>
      </c>
      <c r="L10" t="b">
        <f>'2965B'!M18</f>
        <v>0</v>
      </c>
    </row>
    <row r="11" spans="1:12">
      <c r="A11" s="3">
        <f>'2965B'!B19</f>
        <v>0</v>
      </c>
      <c r="B11" s="3">
        <f>'2965B'!C19</f>
        <v>0</v>
      </c>
      <c r="C11">
        <f>'2965B'!D19</f>
        <v>0</v>
      </c>
      <c r="D11" s="1">
        <f>'2965B'!E19</f>
        <v>0</v>
      </c>
      <c r="E11" s="1">
        <f>'2965B'!F19</f>
        <v>0</v>
      </c>
      <c r="F11">
        <f>ROUND((Table10[[#This Row],[LandingTime]]-Table10[[#This Row],[TakeOffTime]])*1440,0)</f>
        <v>0</v>
      </c>
      <c r="G11" t="str">
        <f>'2965B'!S19</f>
        <v/>
      </c>
      <c r="H11" t="b">
        <f>'2965B'!P19</f>
        <v>0</v>
      </c>
      <c r="I11" t="str">
        <f>'2965B'!$F$2</f>
        <v>ZE495</v>
      </c>
      <c r="J11" s="5">
        <f>'2965B'!$O$2</f>
        <v>46275</v>
      </c>
      <c r="K11" t="b">
        <f>'2965B'!L19</f>
        <v>0</v>
      </c>
      <c r="L11" t="b">
        <f>'2965B'!M19</f>
        <v>0</v>
      </c>
    </row>
    <row r="12" spans="1:12">
      <c r="A12" s="3">
        <f>'2965B'!B20</f>
        <v>0</v>
      </c>
      <c r="B12" s="3">
        <f>'2965B'!C20</f>
        <v>0</v>
      </c>
      <c r="C12">
        <f>'2965B'!D20</f>
        <v>0</v>
      </c>
      <c r="D12" s="1">
        <f>'2965B'!E20</f>
        <v>0</v>
      </c>
      <c r="E12" s="1">
        <f>'2965B'!F20</f>
        <v>0</v>
      </c>
      <c r="F12">
        <f>ROUND((Table10[[#This Row],[LandingTime]]-Table10[[#This Row],[TakeOffTime]])*1440,0)</f>
        <v>0</v>
      </c>
      <c r="G12" t="str">
        <f>'2965B'!S20</f>
        <v/>
      </c>
      <c r="H12" t="b">
        <f>'2965B'!P20</f>
        <v>0</v>
      </c>
      <c r="I12" t="str">
        <f>'2965B'!$F$2</f>
        <v>ZE495</v>
      </c>
      <c r="J12" s="5">
        <f>'2965B'!$O$2</f>
        <v>46275</v>
      </c>
      <c r="K12" t="b">
        <f>'2965B'!L20</f>
        <v>0</v>
      </c>
      <c r="L12" t="b">
        <f>'2965B'!M20</f>
        <v>0</v>
      </c>
    </row>
    <row r="13" spans="1:12">
      <c r="A13" s="3">
        <f>'2965B'!B21</f>
        <v>0</v>
      </c>
      <c r="B13" s="3">
        <f>'2965B'!C21</f>
        <v>0</v>
      </c>
      <c r="C13">
        <f>'2965B'!D21</f>
        <v>0</v>
      </c>
      <c r="D13" s="1">
        <f>'2965B'!E21</f>
        <v>0</v>
      </c>
      <c r="E13" s="1">
        <f>'2965B'!F21</f>
        <v>0</v>
      </c>
      <c r="F13">
        <f>ROUND((Table10[[#This Row],[LandingTime]]-Table10[[#This Row],[TakeOffTime]])*1440,0)</f>
        <v>0</v>
      </c>
      <c r="G13" t="str">
        <f>'2965B'!S21</f>
        <v/>
      </c>
      <c r="H13" t="b">
        <f>'2965B'!P21</f>
        <v>0</v>
      </c>
      <c r="I13" t="str">
        <f>'2965B'!$F$2</f>
        <v>ZE495</v>
      </c>
      <c r="J13" s="5">
        <f>'2965B'!$O$2</f>
        <v>46275</v>
      </c>
      <c r="K13" t="b">
        <f>'2965B'!L21</f>
        <v>0</v>
      </c>
      <c r="L13" t="b">
        <f>'2965B'!M21</f>
        <v>0</v>
      </c>
    </row>
    <row r="14" spans="1:12">
      <c r="A14" s="3">
        <f>'2965B'!B22</f>
        <v>0</v>
      </c>
      <c r="B14" s="3">
        <f>'2965B'!C22</f>
        <v>0</v>
      </c>
      <c r="C14">
        <f>'2965B'!D22</f>
        <v>0</v>
      </c>
      <c r="D14" s="1">
        <f>'2965B'!E22</f>
        <v>0</v>
      </c>
      <c r="E14" s="1">
        <f>'2965B'!F22</f>
        <v>0</v>
      </c>
      <c r="F14">
        <f>ROUND((Table10[[#This Row],[LandingTime]]-Table10[[#This Row],[TakeOffTime]])*1440,0)</f>
        <v>0</v>
      </c>
      <c r="G14" t="str">
        <f>'2965B'!S22</f>
        <v/>
      </c>
      <c r="H14" t="b">
        <f>'2965B'!P22</f>
        <v>0</v>
      </c>
      <c r="I14" t="str">
        <f>'2965B'!$F$2</f>
        <v>ZE495</v>
      </c>
      <c r="J14" s="5">
        <f>'2965B'!$O$2</f>
        <v>46275</v>
      </c>
      <c r="K14" t="b">
        <f>'2965B'!L22</f>
        <v>0</v>
      </c>
      <c r="L14" t="b">
        <f>'2965B'!M22</f>
        <v>0</v>
      </c>
    </row>
    <row r="15" spans="1:12">
      <c r="A15" s="3">
        <f>'2965B'!B23</f>
        <v>0</v>
      </c>
      <c r="B15" s="3">
        <f>'2965B'!C23</f>
        <v>0</v>
      </c>
      <c r="C15">
        <f>'2965B'!D23</f>
        <v>0</v>
      </c>
      <c r="D15" s="1">
        <f>'2965B'!E23</f>
        <v>0</v>
      </c>
      <c r="E15" s="1">
        <f>'2965B'!F23</f>
        <v>0</v>
      </c>
      <c r="F15">
        <f>ROUND((Table10[[#This Row],[LandingTime]]-Table10[[#This Row],[TakeOffTime]])*1440,0)</f>
        <v>0</v>
      </c>
      <c r="G15" t="str">
        <f>'2965B'!S23</f>
        <v/>
      </c>
      <c r="H15" t="b">
        <f>'2965B'!P23</f>
        <v>0</v>
      </c>
      <c r="I15" t="str">
        <f>'2965B'!$F$2</f>
        <v>ZE495</v>
      </c>
      <c r="J15" s="5">
        <f>'2965B'!$O$2</f>
        <v>46275</v>
      </c>
      <c r="K15" t="b">
        <f>'2965B'!L23</f>
        <v>0</v>
      </c>
      <c r="L15" t="b">
        <f>'2965B'!M23</f>
        <v>0</v>
      </c>
    </row>
    <row r="16" spans="1:12">
      <c r="A16" s="3">
        <f>'2965B'!B24</f>
        <v>0</v>
      </c>
      <c r="B16" s="3">
        <f>'2965B'!C24</f>
        <v>0</v>
      </c>
      <c r="C16">
        <f>'2965B'!D24</f>
        <v>0</v>
      </c>
      <c r="D16" s="1">
        <f>'2965B'!E24</f>
        <v>0</v>
      </c>
      <c r="E16" s="1">
        <f>'2965B'!F24</f>
        <v>0</v>
      </c>
      <c r="F16">
        <f>ROUND((Table10[[#This Row],[LandingTime]]-Table10[[#This Row],[TakeOffTime]])*1440,0)</f>
        <v>0</v>
      </c>
      <c r="G16" t="str">
        <f>'2965B'!S24</f>
        <v/>
      </c>
      <c r="H16" t="b">
        <f>'2965B'!P24</f>
        <v>0</v>
      </c>
      <c r="I16" t="str">
        <f>'2965B'!$F$2</f>
        <v>ZE495</v>
      </c>
      <c r="J16" s="5">
        <f>'2965B'!$O$2</f>
        <v>46275</v>
      </c>
      <c r="K16" t="b">
        <f>'2965B'!L24</f>
        <v>0</v>
      </c>
      <c r="L16" t="b">
        <f>'2965B'!M24</f>
        <v>0</v>
      </c>
    </row>
    <row r="17" spans="1:12">
      <c r="A17" s="3">
        <f>'2965B'!B25</f>
        <v>0</v>
      </c>
      <c r="B17" s="3">
        <f>'2965B'!C25</f>
        <v>0</v>
      </c>
      <c r="C17">
        <f>'2965B'!D25</f>
        <v>0</v>
      </c>
      <c r="D17" s="1">
        <f>'2965B'!E25</f>
        <v>0</v>
      </c>
      <c r="E17" s="1">
        <f>'2965B'!F25</f>
        <v>0</v>
      </c>
      <c r="F17">
        <f>ROUND((Table10[[#This Row],[LandingTime]]-Table10[[#This Row],[TakeOffTime]])*1440,0)</f>
        <v>0</v>
      </c>
      <c r="G17" t="str">
        <f>'2965B'!S25</f>
        <v/>
      </c>
      <c r="H17" t="b">
        <f>'2965B'!P25</f>
        <v>0</v>
      </c>
      <c r="I17" t="str">
        <f>'2965B'!$F$2</f>
        <v>ZE495</v>
      </c>
      <c r="J17" s="5">
        <f>'2965B'!$O$2</f>
        <v>46275</v>
      </c>
      <c r="K17" t="b">
        <f>'2965B'!L25</f>
        <v>0</v>
      </c>
      <c r="L17" t="b">
        <f>'2965B'!M25</f>
        <v>0</v>
      </c>
    </row>
    <row r="18" spans="1:12">
      <c r="A18" s="3">
        <f>'2965B'!B26</f>
        <v>0</v>
      </c>
      <c r="B18" s="3">
        <f>'2965B'!C26</f>
        <v>0</v>
      </c>
      <c r="C18">
        <f>'2965B'!D26</f>
        <v>0</v>
      </c>
      <c r="D18" s="1">
        <f>'2965B'!E26</f>
        <v>0</v>
      </c>
      <c r="E18" s="1">
        <f>'2965B'!F26</f>
        <v>0</v>
      </c>
      <c r="F18">
        <f>ROUND((Table10[[#This Row],[LandingTime]]-Table10[[#This Row],[TakeOffTime]])*1440,0)</f>
        <v>0</v>
      </c>
      <c r="G18" t="str">
        <f>'2965B'!S26</f>
        <v/>
      </c>
      <c r="H18" t="b">
        <f>'2965B'!P26</f>
        <v>0</v>
      </c>
      <c r="I18" t="str">
        <f>'2965B'!$F$2</f>
        <v>ZE495</v>
      </c>
      <c r="J18" s="5">
        <f>'2965B'!$O$2</f>
        <v>46275</v>
      </c>
      <c r="K18" t="b">
        <f>'2965B'!L26</f>
        <v>0</v>
      </c>
      <c r="L18" t="b">
        <f>'2965B'!M26</f>
        <v>0</v>
      </c>
    </row>
    <row r="19" spans="1:12">
      <c r="A19" s="3">
        <f>'2965B'!B27</f>
        <v>0</v>
      </c>
      <c r="B19" s="3">
        <f>'2965B'!C27</f>
        <v>0</v>
      </c>
      <c r="C19">
        <f>'2965B'!D27</f>
        <v>0</v>
      </c>
      <c r="D19" s="1">
        <f>'2965B'!E27</f>
        <v>0</v>
      </c>
      <c r="E19" s="1">
        <f>'2965B'!F27</f>
        <v>0</v>
      </c>
      <c r="F19">
        <f>ROUND((Table10[[#This Row],[LandingTime]]-Table10[[#This Row],[TakeOffTime]])*1440,0)</f>
        <v>0</v>
      </c>
      <c r="G19" t="str">
        <f>'2965B'!S27</f>
        <v/>
      </c>
      <c r="H19" t="b">
        <f>'2965B'!P27</f>
        <v>0</v>
      </c>
      <c r="I19" t="str">
        <f>'2965B'!$F$2</f>
        <v>ZE495</v>
      </c>
      <c r="J19" s="5">
        <f>'2965B'!$O$2</f>
        <v>46275</v>
      </c>
      <c r="K19" t="b">
        <f>'2965B'!L27</f>
        <v>0</v>
      </c>
      <c r="L19" t="b">
        <f>'2965B'!M27</f>
        <v>0</v>
      </c>
    </row>
    <row r="20" spans="1:12">
      <c r="A20" s="3">
        <f>'2965B'!B28</f>
        <v>0</v>
      </c>
      <c r="B20" s="3">
        <f>'2965B'!C28</f>
        <v>0</v>
      </c>
      <c r="C20">
        <f>'2965B'!D28</f>
        <v>0</v>
      </c>
      <c r="D20" s="1">
        <f>'2965B'!E28</f>
        <v>0</v>
      </c>
      <c r="E20" s="1">
        <f>'2965B'!F28</f>
        <v>0</v>
      </c>
      <c r="F20">
        <f>ROUND((Table10[[#This Row],[LandingTime]]-Table10[[#This Row],[TakeOffTime]])*1440,0)</f>
        <v>0</v>
      </c>
      <c r="G20" t="str">
        <f>'2965B'!S28</f>
        <v/>
      </c>
      <c r="H20" t="b">
        <f>'2965B'!P28</f>
        <v>0</v>
      </c>
      <c r="I20" t="str">
        <f>'2965B'!$F$2</f>
        <v>ZE495</v>
      </c>
      <c r="J20" s="5">
        <f>'2965B'!$O$2</f>
        <v>46275</v>
      </c>
      <c r="K20" t="b">
        <f>'2965B'!L28</f>
        <v>0</v>
      </c>
      <c r="L20" t="b">
        <f>'2965B'!M28</f>
        <v>0</v>
      </c>
    </row>
    <row r="21" spans="1:12">
      <c r="A21" s="3">
        <f>'2965B'!B29</f>
        <v>0</v>
      </c>
      <c r="B21" s="3">
        <f>'2965B'!C29</f>
        <v>0</v>
      </c>
      <c r="C21">
        <f>'2965B'!D29</f>
        <v>0</v>
      </c>
      <c r="D21" s="1">
        <f>'2965B'!E29</f>
        <v>0</v>
      </c>
      <c r="E21" s="1">
        <f>'2965B'!F29</f>
        <v>0</v>
      </c>
      <c r="F21">
        <f>ROUND((Table10[[#This Row],[LandingTime]]-Table10[[#This Row],[TakeOffTime]])*1440,0)</f>
        <v>0</v>
      </c>
      <c r="G21" t="str">
        <f>'2965B'!S29</f>
        <v/>
      </c>
      <c r="H21" t="b">
        <f>'2965B'!P29</f>
        <v>0</v>
      </c>
      <c r="I21" t="str">
        <f>'2965B'!$F$2</f>
        <v>ZE495</v>
      </c>
      <c r="J21" s="5">
        <f>'2965B'!$O$2</f>
        <v>46275</v>
      </c>
      <c r="K21" t="b">
        <f>'2965B'!L29</f>
        <v>0</v>
      </c>
      <c r="L21" t="b">
        <f>'2965B'!M29</f>
        <v>0</v>
      </c>
    </row>
    <row r="22" spans="1:12">
      <c r="A22" s="3">
        <f>'2965B'!B30</f>
        <v>0</v>
      </c>
      <c r="B22" s="3">
        <f>'2965B'!C30</f>
        <v>0</v>
      </c>
      <c r="C22">
        <f>'2965B'!D30</f>
        <v>0</v>
      </c>
      <c r="D22" s="1">
        <f>'2965B'!E30</f>
        <v>0</v>
      </c>
      <c r="E22" s="1">
        <f>'2965B'!F30</f>
        <v>0</v>
      </c>
      <c r="F22">
        <f>ROUND((Table10[[#This Row],[LandingTime]]-Table10[[#This Row],[TakeOffTime]])*1440,0)</f>
        <v>0</v>
      </c>
      <c r="G22" t="str">
        <f>'2965B'!S30</f>
        <v/>
      </c>
      <c r="H22" t="b">
        <f>'2965B'!P30</f>
        <v>0</v>
      </c>
      <c r="I22" t="str">
        <f>'2965B'!$F$2</f>
        <v>ZE495</v>
      </c>
      <c r="J22" s="5">
        <f>'2965B'!$O$2</f>
        <v>46275</v>
      </c>
      <c r="K22" t="b">
        <f>'2965B'!L30</f>
        <v>0</v>
      </c>
      <c r="L22" t="b">
        <f>'2965B'!M30</f>
        <v>0</v>
      </c>
    </row>
    <row r="23" spans="1:12">
      <c r="A23" s="3">
        <f>'2965B'!B31</f>
        <v>0</v>
      </c>
      <c r="B23" s="3">
        <f>'2965B'!C31</f>
        <v>0</v>
      </c>
      <c r="C23">
        <f>'2965B'!D31</f>
        <v>0</v>
      </c>
      <c r="D23" s="1">
        <f>'2965B'!E31</f>
        <v>0</v>
      </c>
      <c r="E23" s="1">
        <f>'2965B'!F31</f>
        <v>0</v>
      </c>
      <c r="F23">
        <f>ROUND((Table10[[#This Row],[LandingTime]]-Table10[[#This Row],[TakeOffTime]])*1440,0)</f>
        <v>0</v>
      </c>
      <c r="G23" t="str">
        <f>'2965B'!S31</f>
        <v/>
      </c>
      <c r="H23" t="b">
        <f>'2965B'!P31</f>
        <v>0</v>
      </c>
      <c r="I23" t="str">
        <f>'2965B'!$F$2</f>
        <v>ZE495</v>
      </c>
      <c r="J23" s="5">
        <f>'2965B'!$O$2</f>
        <v>46275</v>
      </c>
      <c r="K23" t="b">
        <f>'2965B'!L31</f>
        <v>0</v>
      </c>
      <c r="L23" t="b">
        <f>'2965B'!M31</f>
        <v>0</v>
      </c>
    </row>
    <row r="24" spans="1:12">
      <c r="A24" s="3">
        <f>'2965B'!B32</f>
        <v>0</v>
      </c>
      <c r="B24" s="3">
        <f>'2965B'!C32</f>
        <v>0</v>
      </c>
      <c r="C24">
        <f>'2965B'!D32</f>
        <v>0</v>
      </c>
      <c r="D24" s="1">
        <f>'2965B'!E32</f>
        <v>0</v>
      </c>
      <c r="E24" s="1">
        <f>'2965B'!F32</f>
        <v>0</v>
      </c>
      <c r="F24">
        <f>ROUND((Table10[[#This Row],[LandingTime]]-Table10[[#This Row],[TakeOffTime]])*1440,0)</f>
        <v>0</v>
      </c>
      <c r="G24" t="str">
        <f>'2965B'!S32</f>
        <v/>
      </c>
      <c r="H24" t="b">
        <f>'2965B'!P32</f>
        <v>0</v>
      </c>
      <c r="I24" t="str">
        <f>'2965B'!$F$2</f>
        <v>ZE495</v>
      </c>
      <c r="J24" s="5">
        <f>'2965B'!$O$2</f>
        <v>46275</v>
      </c>
      <c r="K24" t="b">
        <f>'2965B'!L32</f>
        <v>0</v>
      </c>
      <c r="L24" t="b">
        <f>'2965B'!M32</f>
        <v>0</v>
      </c>
    </row>
    <row r="25" spans="1:12">
      <c r="A25" s="3">
        <f>'2965B'!B33</f>
        <v>0</v>
      </c>
      <c r="B25" s="3">
        <f>'2965B'!C33</f>
        <v>0</v>
      </c>
      <c r="C25">
        <f>'2965B'!D33</f>
        <v>0</v>
      </c>
      <c r="D25" s="1">
        <f>'2965B'!E33</f>
        <v>0</v>
      </c>
      <c r="E25" s="1">
        <f>'2965B'!F33</f>
        <v>0</v>
      </c>
      <c r="F25">
        <f>ROUND((Table10[[#This Row],[LandingTime]]-Table10[[#This Row],[TakeOffTime]])*1440,0)</f>
        <v>0</v>
      </c>
      <c r="G25" t="str">
        <f>'2965B'!S33</f>
        <v/>
      </c>
      <c r="H25" t="b">
        <f>'2965B'!P33</f>
        <v>0</v>
      </c>
      <c r="I25" t="str">
        <f>'2965B'!$F$2</f>
        <v>ZE495</v>
      </c>
      <c r="J25" s="5">
        <f>'2965B'!$O$2</f>
        <v>46275</v>
      </c>
      <c r="K25" t="b">
        <f>'2965B'!L33</f>
        <v>0</v>
      </c>
      <c r="L25" t="b">
        <f>'2965B'!M33</f>
        <v>0</v>
      </c>
    </row>
    <row r="26" spans="1:12">
      <c r="A26" s="3">
        <f>'2965B'!B34</f>
        <v>0</v>
      </c>
      <c r="B26" s="3">
        <f>'2965B'!C34</f>
        <v>0</v>
      </c>
      <c r="C26">
        <f>'2965B'!D34</f>
        <v>0</v>
      </c>
      <c r="D26" s="1">
        <f>'2965B'!E34</f>
        <v>0</v>
      </c>
      <c r="E26" s="1">
        <f>'2965B'!F34</f>
        <v>0</v>
      </c>
      <c r="F26">
        <f>ROUND((Table10[[#This Row],[LandingTime]]-Table10[[#This Row],[TakeOffTime]])*1440,0)</f>
        <v>0</v>
      </c>
      <c r="G26" t="str">
        <f>'2965B'!S34</f>
        <v/>
      </c>
      <c r="H26" t="b">
        <f>'2965B'!P34</f>
        <v>0</v>
      </c>
      <c r="I26" t="str">
        <f>'2965B'!$F$2</f>
        <v>ZE495</v>
      </c>
      <c r="J26" s="5">
        <f>'2965B'!$O$2</f>
        <v>46275</v>
      </c>
      <c r="K26" t="b">
        <f>'2965B'!L34</f>
        <v>0</v>
      </c>
      <c r="L26" t="b">
        <f>'2965B'!M34</f>
        <v>0</v>
      </c>
    </row>
    <row r="27" spans="1:12">
      <c r="A27" s="3">
        <f>'2965B'!B35</f>
        <v>0</v>
      </c>
      <c r="B27" s="3">
        <f>'2965B'!C35</f>
        <v>0</v>
      </c>
      <c r="C27">
        <f>'2965B'!D35</f>
        <v>0</v>
      </c>
      <c r="D27" s="1">
        <f>'2965B'!E35</f>
        <v>0</v>
      </c>
      <c r="E27" s="1">
        <f>'2965B'!F35</f>
        <v>0</v>
      </c>
      <c r="F27">
        <f>ROUND((Table10[[#This Row],[LandingTime]]-Table10[[#This Row],[TakeOffTime]])*1440,0)</f>
        <v>0</v>
      </c>
      <c r="G27" t="str">
        <f>'2965B'!S35</f>
        <v/>
      </c>
      <c r="H27" t="b">
        <f>'2965B'!P35</f>
        <v>0</v>
      </c>
      <c r="I27" t="str">
        <f>'2965B'!$F$2</f>
        <v>ZE495</v>
      </c>
      <c r="J27" s="5">
        <f>'2965B'!$O$2</f>
        <v>46275</v>
      </c>
      <c r="K27" t="b">
        <f>'2965B'!L35</f>
        <v>0</v>
      </c>
      <c r="L27" t="b">
        <f>'2965B'!M35</f>
        <v>0</v>
      </c>
    </row>
    <row r="28" spans="1:12">
      <c r="A28" s="3">
        <f>'2965B'!B36</f>
        <v>0</v>
      </c>
      <c r="B28" s="3">
        <f>'2965B'!C36</f>
        <v>0</v>
      </c>
      <c r="C28">
        <f>'2965B'!D36</f>
        <v>0</v>
      </c>
      <c r="D28" s="1">
        <f>'2965B'!E36</f>
        <v>0</v>
      </c>
      <c r="E28" s="1">
        <f>'2965B'!F36</f>
        <v>0</v>
      </c>
      <c r="F28">
        <f>ROUND((Table10[[#This Row],[LandingTime]]-Table10[[#This Row],[TakeOffTime]])*1440,0)</f>
        <v>0</v>
      </c>
      <c r="G28" t="str">
        <f>'2965B'!S36</f>
        <v/>
      </c>
      <c r="H28" t="b">
        <f>'2965B'!P36</f>
        <v>0</v>
      </c>
      <c r="I28" t="str">
        <f>'2965B'!$F$2</f>
        <v>ZE495</v>
      </c>
      <c r="J28" s="5">
        <f>'2965B'!$O$2</f>
        <v>46275</v>
      </c>
      <c r="K28" t="b">
        <f>'2965B'!L36</f>
        <v>0</v>
      </c>
      <c r="L28" t="b">
        <f>'2965B'!M36</f>
        <v>0</v>
      </c>
    </row>
    <row r="29" spans="1:12">
      <c r="A29" s="3">
        <f>'2965B'!B37</f>
        <v>0</v>
      </c>
      <c r="B29" s="3">
        <f>'2965B'!C37</f>
        <v>0</v>
      </c>
      <c r="C29">
        <f>'2965B'!D37</f>
        <v>0</v>
      </c>
      <c r="D29" s="1">
        <f>'2965B'!E37</f>
        <v>0</v>
      </c>
      <c r="E29" s="1">
        <f>'2965B'!F37</f>
        <v>0</v>
      </c>
      <c r="F29">
        <f>ROUND((Table10[[#This Row],[LandingTime]]-Table10[[#This Row],[TakeOffTime]])*1440,0)</f>
        <v>0</v>
      </c>
      <c r="G29" t="str">
        <f>'2965B'!S37</f>
        <v/>
      </c>
      <c r="H29" t="b">
        <f>'2965B'!P37</f>
        <v>0</v>
      </c>
      <c r="I29" t="str">
        <f>'2965B'!$F$2</f>
        <v>ZE495</v>
      </c>
      <c r="J29" s="5">
        <f>'2965B'!$O$2</f>
        <v>46275</v>
      </c>
      <c r="K29" t="b">
        <f>'2965B'!L37</f>
        <v>0</v>
      </c>
      <c r="L29" t="b">
        <f>'2965B'!M37</f>
        <v>0</v>
      </c>
    </row>
    <row r="30" spans="1:12">
      <c r="A30" s="3">
        <f>'2965B'!B38</f>
        <v>0</v>
      </c>
      <c r="B30" s="3">
        <f>'2965B'!C38</f>
        <v>0</v>
      </c>
      <c r="C30">
        <f>'2965B'!D38</f>
        <v>0</v>
      </c>
      <c r="D30" s="1">
        <f>'2965B'!E38</f>
        <v>0</v>
      </c>
      <c r="E30" s="1">
        <f>'2965B'!F38</f>
        <v>0</v>
      </c>
      <c r="F30">
        <f>ROUND((Table10[[#This Row],[LandingTime]]-Table10[[#This Row],[TakeOffTime]])*1440,0)</f>
        <v>0</v>
      </c>
      <c r="G30" t="str">
        <f>'2965B'!S38</f>
        <v/>
      </c>
      <c r="H30" t="b">
        <f>'2965B'!P38</f>
        <v>0</v>
      </c>
      <c r="I30" t="str">
        <f>'2965B'!$F$2</f>
        <v>ZE495</v>
      </c>
      <c r="J30" s="5">
        <f>'2965B'!$O$2</f>
        <v>46275</v>
      </c>
      <c r="K30" t="b">
        <f>'2965B'!L38</f>
        <v>0</v>
      </c>
      <c r="L30" t="b">
        <f>'2965B'!M38</f>
        <v>0</v>
      </c>
    </row>
    <row r="31" spans="1:12">
      <c r="A31" s="3">
        <f>'2965B'!B39</f>
        <v>0</v>
      </c>
      <c r="B31" s="3">
        <f>'2965B'!C39</f>
        <v>0</v>
      </c>
      <c r="C31">
        <f>'2965B'!D39</f>
        <v>0</v>
      </c>
      <c r="D31" s="1">
        <f>'2965B'!E39</f>
        <v>0</v>
      </c>
      <c r="E31" s="1">
        <f>'2965B'!F39</f>
        <v>0</v>
      </c>
      <c r="F31">
        <f>ROUND((Table10[[#This Row],[LandingTime]]-Table10[[#This Row],[TakeOffTime]])*1440,0)</f>
        <v>0</v>
      </c>
      <c r="G31" t="str">
        <f>'2965B'!S39</f>
        <v/>
      </c>
      <c r="H31" t="b">
        <f>'2965B'!P39</f>
        <v>0</v>
      </c>
      <c r="I31" t="str">
        <f>'2965B'!$F$2</f>
        <v>ZE495</v>
      </c>
      <c r="J31" s="5">
        <f>'2965B'!$O$2</f>
        <v>46275</v>
      </c>
      <c r="K31" t="b">
        <f>'2965B'!L39</f>
        <v>0</v>
      </c>
      <c r="L31" t="b">
        <f>'2965B'!M39</f>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5F36F-CAF6-46C5-9B82-372B107FD1DD}">
  <sheetPr codeName="Sheet7"/>
  <dimension ref="A1:D2"/>
  <sheetViews>
    <sheetView workbookViewId="0">
      <selection activeCell="D19" sqref="D19"/>
    </sheetView>
  </sheetViews>
  <sheetFormatPr defaultRowHeight="15"/>
  <cols>
    <col min="1" max="1" width="10.7109375" bestFit="1" customWidth="1"/>
    <col min="2" max="2" width="9.7109375" customWidth="1"/>
    <col min="3" max="3" width="13.28515625" customWidth="1"/>
    <col min="4" max="4" width="16.28515625" customWidth="1"/>
  </cols>
  <sheetData>
    <row r="1" spans="1:4">
      <c r="A1" t="s">
        <v>4</v>
      </c>
      <c r="B1" t="s">
        <v>284</v>
      </c>
      <c r="C1" t="s">
        <v>285</v>
      </c>
      <c r="D1" t="s">
        <v>286</v>
      </c>
    </row>
    <row r="2" spans="1:4">
      <c r="A2" s="5">
        <f>'2965B'!$O$2</f>
        <v>0</v>
      </c>
      <c r="B2">
        <f>'2965B'!$F$2</f>
        <v>0</v>
      </c>
      <c r="C2" s="103">
        <f>'2965B'!$C$4+SUM('2965B'!$G$40:$N$40)</f>
        <v>0</v>
      </c>
      <c r="D2">
        <f>'2965B'!$C$5+SUM('2965B'!$G$41:$N$41)</f>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656EC1522A79A4195ACE8B77BDC2D60" ma:contentTypeVersion="24" ma:contentTypeDescription="Create a new document." ma:contentTypeScope="" ma:versionID="610ee107adad1755f611ba0831459b55">
  <xsd:schema xmlns:xsd="http://www.w3.org/2001/XMLSchema" xmlns:xs="http://www.w3.org/2001/XMLSchema" xmlns:p="http://schemas.microsoft.com/office/2006/metadata/properties" xmlns:ns2="875ba578-886d-4752-9169-e010f98bcdf2" xmlns:ns3="49078254-ee6b-43b6-84cb-00b3a9850307" targetNamespace="http://schemas.microsoft.com/office/2006/metadata/properties" ma:root="true" ma:fieldsID="df737fb3b2dafa9d0ca25dd779dea0ef" ns2:_="" ns3:_="">
    <xsd:import namespace="875ba578-886d-4752-9169-e010f98bcdf2"/>
    <xsd:import namespace="49078254-ee6b-43b6-84cb-00b3a9850307"/>
    <xsd:element name="properties">
      <xsd:complexType>
        <xsd:sequence>
          <xsd:element name="documentManagement">
            <xsd:complexType>
              <xsd:all>
                <xsd:element ref="ns2:Section" minOccurs="0"/>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Location" minOccurs="0"/>
                <xsd:element ref="ns2:MediaServiceOCR"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5ba578-886d-4752-9169-e010f98bcdf2" elementFormDefault="qualified">
    <xsd:import namespace="http://schemas.microsoft.com/office/2006/documentManagement/types"/>
    <xsd:import namespace="http://schemas.microsoft.com/office/infopath/2007/PartnerControls"/>
    <xsd:element name="Section" ma:index="8" nillable="true" ma:displayName="Section" ma:format="Dropdown" ma:internalName="Section">
      <xsd:complexType>
        <xsd:complexContent>
          <xsd:extension base="dms:MultiChoice">
            <xsd:sequence>
              <xsd:element name="Value" maxOccurs="unbounded" minOccurs="0" nillable="true">
                <xsd:simpleType>
                  <xsd:restriction base="dms:Choice">
                    <xsd:enumeration value="Flying &amp; Groundschool"/>
                    <xsd:enumeration value="Engineering"/>
                    <xsd:enumeration value="Ground Training &amp; Winches"/>
                    <xsd:enumeration value="Flight Safety"/>
                    <xsd:enumeration value="Health &amp; Safety"/>
                    <xsd:enumeration value="Infrastructure"/>
                    <xsd:enumeration value="IT"/>
                    <xsd:enumeration value="MT"/>
                    <xsd:enumeration value="Stats"/>
                    <xsd:enumeration value="OPS"/>
                    <xsd:enumeration value="Supply"/>
                    <xsd:enumeration value="Administration"/>
                    <xsd:enumeration value="GUR"/>
                    <xsd:enumeration value="Security"/>
                    <xsd:enumeration value="CLM"/>
                    <xsd:enumeration value="Commissioning Club"/>
                  </xsd:restriction>
                </xsd:simple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c2487ad-0a7a-43a2-8e48-b58c7744e34f" ma:termSetId="09814cd3-568e-fe90-9814-8d621ff8fb84" ma:anchorId="fba54fb3-c3e1-fe81-a776-ca4b69148c4d" ma:open="true" ma:isKeyword="false">
      <xsd:complexType>
        <xsd:sequence>
          <xsd:element ref="pc:Terms" minOccurs="0" maxOccurs="1"/>
        </xsd:sequence>
      </xsd:complexType>
    </xsd:element>
    <xsd:element name="MediaServiceLocation" ma:index="20" nillable="true" ma:displayName="Location" ma:indexed="true" ma:internalName="MediaServiceLocatio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9078254-ee6b-43b6-84cb-00b3a9850307"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6dbf5ed6-356f-40d1-b09f-a57195c3d47b}" ma:internalName="TaxCatchAll" ma:showField="CatchAllData" ma:web="49078254-ee6b-43b6-84cb-00b3a9850307">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ection xmlns="875ba578-886d-4752-9169-e010f98bcdf2" xsi:nil="true"/>
    <MediaLengthInSeconds xmlns="875ba578-886d-4752-9169-e010f98bcdf2" xsi:nil="true"/>
    <lcf76f155ced4ddcb4097134ff3c332f xmlns="875ba578-886d-4752-9169-e010f98bcdf2">
      <Terms xmlns="http://schemas.microsoft.com/office/infopath/2007/PartnerControls"/>
    </lcf76f155ced4ddcb4097134ff3c332f>
    <TaxCatchAll xmlns="49078254-ee6b-43b6-84cb-00b3a985030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1908B93D-36E6-4ED9-B05D-5739FE67F388}"/>
</file>

<file path=customXml/itemProps2.xml><?xml version="1.0" encoding="utf-8"?>
<ds:datastoreItem xmlns:ds="http://schemas.openxmlformats.org/officeDocument/2006/customXml" ds:itemID="{DA0E2FEB-EAB1-4D92-AE14-DEBD2D85739B}"/>
</file>

<file path=customXml/itemProps3.xml><?xml version="1.0" encoding="utf-8"?>
<ds:datastoreItem xmlns:ds="http://schemas.openxmlformats.org/officeDocument/2006/customXml" ds:itemID="{5AACAC93-C077-4681-847E-4348F1853CEA}"/>
</file>

<file path=customXml/itemProps4.xml><?xml version="1.0" encoding="utf-8"?>
<ds:datastoreItem xmlns:ds="http://schemas.openxmlformats.org/officeDocument/2006/customXml" ds:itemID="{52B23DDE-AF73-46CC-BFE4-1A744AA0586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White, Chris Flt Lt (RAFAC-2FTS-VGS-661)</dc:creator>
  <cp:keywords/>
  <dc:description/>
  <cp:lastModifiedBy/>
  <cp:revision/>
  <dcterms:created xsi:type="dcterms:W3CDTF">2022-06-26T15:01:24Z</dcterms:created>
  <dcterms:modified xsi:type="dcterms:W3CDTF">2026-09-10T18:01:27Z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0x0101005656EC1522A79A4195ACE8B77BDC2D60</vt:lpwstr>
  </property>
  <property fmtid="{D5CDD505-2E9C-101B-9397-08002B2CF9AE}" pid="3" name="MediaServiceImageTags">
    <vt:lpwstr/>
  </property>
  <property fmtid="{D5CDD505-2E9C-101B-9397-08002B2CF9AE}" pid="4" name="Order">
    <vt:r8>731900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MSIP_Label_3397424e-6912-4ba3-ab3b-444dd4ae2f63_Enabled">
    <vt:lpwstr>true</vt:lpwstr>
  </property>
  <property fmtid="{D5CDD505-2E9C-101B-9397-08002B2CF9AE}" pid="12" name="MSIP_Label_3397424e-6912-4ba3-ab3b-444dd4ae2f63_SetDate">
    <vt:lpwstr>2026-06-26T21:49:53Z</vt:lpwstr>
  </property>
  <property fmtid="{D5CDD505-2E9C-101B-9397-08002B2CF9AE}" pid="13" name="MSIP_Label_3397424e-6912-4ba3-ab3b-444dd4ae2f63_Method">
    <vt:lpwstr>Privileged</vt:lpwstr>
  </property>
  <property fmtid="{D5CDD505-2E9C-101B-9397-08002B2CF9AE}" pid="14" name="MSIP_Label_3397424e-6912-4ba3-ab3b-444dd4ae2f63_Name">
    <vt:lpwstr>OFFICIAL</vt:lpwstr>
  </property>
  <property fmtid="{D5CDD505-2E9C-101B-9397-08002B2CF9AE}" pid="15" name="MSIP_Label_3397424e-6912-4ba3-ab3b-444dd4ae2f63_SiteId">
    <vt:lpwstr>16de72cb-72cb-4c17-add9-90443690ac83</vt:lpwstr>
  </property>
  <property fmtid="{D5CDD505-2E9C-101B-9397-08002B2CF9AE}" pid="16" name="MSIP_Label_3397424e-6912-4ba3-ab3b-444dd4ae2f63_ActionId">
    <vt:lpwstr>15f076a8-cd6c-4420-954d-90e814568dda</vt:lpwstr>
  </property>
  <property fmtid="{D5CDD505-2E9C-101B-9397-08002B2CF9AE}" pid="17" name="MSIP_Label_3397424e-6912-4ba3-ab3b-444dd4ae2f63_ContentBits">
    <vt:lpwstr>0</vt:lpwstr>
  </property>
  <property fmtid="{D5CDD505-2E9C-101B-9397-08002B2CF9AE}" pid="18" name="MSIP_Label_3397424e-6912-4ba3-ab3b-444dd4ae2f63_Tag">
    <vt:lpwstr>10, 0, 1, 1</vt:lpwstr>
  </property>
</Properties>
</file>