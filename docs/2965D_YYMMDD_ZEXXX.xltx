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codeName="ThisWorkbook" defaultThemeVersion="166925"/>
  <mc:AlternateContent xmlns:mc="http://schemas.openxmlformats.org/markup-compatibility/2006">
    <mc:Choice Requires="x15">
      <x15ac:absPath xmlns:x15ac="http://schemas.microsoft.com/office/spreadsheetml/2010/11/ac" url="C:\Users\mjenn\Royal Air Force Air Cadets\661 Volunteer Gliding Squadron - 661 Document Library\Log Sheets\"/>
    </mc:Choice>
  </mc:AlternateContent>
  <xr:revisionPtr revIDLastSave="0" documentId="8_{6B46385C-711E-41C9-85C8-C15F13D09B3C}" xr6:coauthVersionLast="47" xr6:coauthVersionMax="47" xr10:uidLastSave="{00000000-0000-0000-0000-000000000000}"/>
  <bookViews>
    <workbookView xWindow="-108" yWindow="-108" windowWidth="23256" windowHeight="12456" tabRatio="824" xr2:uid="{36C71D38-B5A6-4202-8790-25A8F3FD619B}"/>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s>
  <definedNames>
    <definedName name="ExternalData_1" localSheetId="0" hidden="1">'2965D'!#REF!</definedName>
    <definedName name="_xlnm.Print_Area" localSheetId="0">'2965D'!$A$1:$T$27</definedName>
    <definedName name="_xlnm.Print_Area" localSheetId="1">'Print Copy'!$B$2:$Y$67</definedName>
    <definedName name="TotalHours">'2965D'!$G$37:$R$37</definedName>
    <definedName name="TotalLaunches">'2965D'!$G$38:$R$38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6" i="1" l="1"/>
  <c r="G33" i="5" s="1"/>
  <c r="V62" i="9"/>
  <c r="N62" i="9"/>
  <c r="F20" i="9"/>
  <c r="Q58" i="9"/>
  <c r="R58" i="9"/>
  <c r="S58" i="9"/>
  <c r="T58" i="9"/>
  <c r="Q59" i="9"/>
  <c r="R59" i="9"/>
  <c r="S59" i="9"/>
  <c r="T59" i="9"/>
  <c r="Q44" i="9"/>
  <c r="R44" i="9"/>
  <c r="S44" i="9"/>
  <c r="T44" i="9"/>
  <c r="Q45" i="9"/>
  <c r="R45" i="9"/>
  <c r="S45" i="9"/>
  <c r="T45" i="9"/>
  <c r="O20" i="9"/>
  <c r="O21" i="9"/>
  <c r="O22" i="9"/>
  <c r="O23" i="9"/>
  <c r="O24" i="9"/>
  <c r="O25" i="9"/>
  <c r="O26" i="9"/>
  <c r="O27" i="9"/>
  <c r="O28" i="9"/>
  <c r="O29" i="9"/>
  <c r="S45" i="1" a="1"/>
  <c r="S45" i="1" s="1"/>
  <c r="Q39" i="9"/>
  <c r="F39" i="9"/>
  <c r="Q5" i="9"/>
  <c r="F5" i="9"/>
  <c r="X47" i="9"/>
  <c r="X48" i="9"/>
  <c r="X49" i="9"/>
  <c r="X50" i="9"/>
  <c r="X51" i="9"/>
  <c r="X52" i="9"/>
  <c r="X53" i="9"/>
  <c r="X54" i="9"/>
  <c r="X55" i="9"/>
  <c r="X56" i="9"/>
  <c r="X57" i="9"/>
  <c r="X46" i="9"/>
  <c r="M47" i="9"/>
  <c r="N47" i="9"/>
  <c r="M48" i="9"/>
  <c r="N48" i="9"/>
  <c r="M49" i="9"/>
  <c r="N49" i="9"/>
  <c r="M50" i="9"/>
  <c r="N50" i="9"/>
  <c r="M51" i="9"/>
  <c r="N51" i="9"/>
  <c r="M52" i="9"/>
  <c r="N52" i="9"/>
  <c r="M53" i="9"/>
  <c r="N53" i="9"/>
  <c r="M54" i="9"/>
  <c r="N54" i="9"/>
  <c r="M55" i="9"/>
  <c r="N55" i="9"/>
  <c r="M56" i="9"/>
  <c r="N56" i="9"/>
  <c r="M57" i="9"/>
  <c r="N57" i="9"/>
  <c r="N46" i="9"/>
  <c r="M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C57" i="9"/>
  <c r="D57" i="9"/>
  <c r="E57" i="9"/>
  <c r="F57" i="9"/>
  <c r="G57" i="9"/>
  <c r="W57" i="9"/>
  <c r="D46" i="9"/>
  <c r="E46" i="9"/>
  <c r="F46" i="9"/>
  <c r="G46" i="9"/>
  <c r="W46" i="9"/>
  <c r="C46" i="9"/>
  <c r="L38" i="1"/>
  <c r="M38" i="1"/>
  <c r="L37" i="1"/>
  <c r="M37" i="1"/>
  <c r="X12" i="9"/>
  <c r="X13" i="9"/>
  <c r="X14" i="9"/>
  <c r="X15" i="9"/>
  <c r="X16" i="9"/>
  <c r="X17" i="9"/>
  <c r="X18" i="9"/>
  <c r="X19" i="9"/>
  <c r="X20" i="9"/>
  <c r="X21" i="9"/>
  <c r="X22" i="9"/>
  <c r="X23" i="9"/>
  <c r="X24" i="9"/>
  <c r="X25" i="9"/>
  <c r="X26" i="9"/>
  <c r="X27" i="9"/>
  <c r="X28" i="9"/>
  <c r="X29" i="9"/>
  <c r="X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M29" i="9"/>
  <c r="N29" i="9"/>
  <c r="M11" i="9"/>
  <c r="N11" i="9"/>
  <c r="X10" i="9"/>
  <c r="M10" i="9"/>
  <c r="N10"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F19" i="9"/>
  <c r="G19" i="9"/>
  <c r="C20" i="9"/>
  <c r="D20" i="9"/>
  <c r="E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C29" i="9"/>
  <c r="D29" i="9"/>
  <c r="E29" i="9"/>
  <c r="F29" i="9"/>
  <c r="G29" i="9"/>
  <c r="C11" i="9"/>
  <c r="D11" i="9"/>
  <c r="E11" i="9"/>
  <c r="F11" i="9"/>
  <c r="G11" i="9"/>
  <c r="F10" i="9"/>
  <c r="G10" i="9"/>
  <c r="E10" i="9"/>
  <c r="D10" i="9"/>
  <c r="C10" i="9"/>
  <c r="J29" i="1"/>
  <c r="K50" i="9" s="1"/>
  <c r="K29" i="1"/>
  <c r="L50" i="9" s="1"/>
  <c r="J30" i="1"/>
  <c r="K51" i="9" s="1"/>
  <c r="K30" i="1"/>
  <c r="L51" i="9" s="1"/>
  <c r="J31" i="1"/>
  <c r="K52" i="9" s="1"/>
  <c r="K31" i="1"/>
  <c r="L52" i="9" s="1"/>
  <c r="J32" i="1"/>
  <c r="K53" i="9" s="1"/>
  <c r="K32" i="1"/>
  <c r="L53" i="9" s="1"/>
  <c r="J33" i="1"/>
  <c r="K54" i="9" s="1"/>
  <c r="K33" i="1"/>
  <c r="L54" i="9" s="1"/>
  <c r="J34" i="1"/>
  <c r="K55" i="9" s="1"/>
  <c r="K34" i="1"/>
  <c r="L55" i="9" s="1"/>
  <c r="J35" i="1"/>
  <c r="K56" i="9" s="1"/>
  <c r="K35" i="1"/>
  <c r="L56" i="9" s="1"/>
  <c r="J36" i="1"/>
  <c r="K57" i="9" s="1"/>
  <c r="K36" i="1"/>
  <c r="L57" i="9" s="1"/>
  <c r="K28" i="1"/>
  <c r="L49" i="9" s="1"/>
  <c r="J28" i="1"/>
  <c r="K49" i="9" s="1"/>
  <c r="J6" i="1"/>
  <c r="K11" i="9" s="1"/>
  <c r="J7" i="1"/>
  <c r="K12" i="9" s="1"/>
  <c r="J8" i="1"/>
  <c r="K13" i="9" s="1"/>
  <c r="J9" i="1"/>
  <c r="K14" i="9" s="1"/>
  <c r="J10" i="1"/>
  <c r="K15" i="9" s="1"/>
  <c r="J11" i="1"/>
  <c r="K16" i="9" s="1"/>
  <c r="J12" i="1"/>
  <c r="K17" i="9" s="1"/>
  <c r="J13" i="1"/>
  <c r="K18" i="9" s="1"/>
  <c r="J14" i="1"/>
  <c r="K19" i="9" s="1"/>
  <c r="J15" i="1"/>
  <c r="K20" i="9" s="1"/>
  <c r="J16" i="1"/>
  <c r="K21" i="9" s="1"/>
  <c r="J17" i="1"/>
  <c r="K22" i="9" s="1"/>
  <c r="J18" i="1"/>
  <c r="K23" i="9" s="1"/>
  <c r="J19" i="1"/>
  <c r="K24" i="9" s="1"/>
  <c r="J20" i="1"/>
  <c r="K25" i="9" s="1"/>
  <c r="J21" i="1"/>
  <c r="K26" i="9" s="1"/>
  <c r="J22" i="1"/>
  <c r="K27" i="9" s="1"/>
  <c r="J23" i="1"/>
  <c r="K28" i="9" s="1"/>
  <c r="J24" i="1"/>
  <c r="K29" i="9" s="1"/>
  <c r="J25" i="1"/>
  <c r="K46" i="9" s="1"/>
  <c r="J26" i="1"/>
  <c r="K47" i="9" s="1"/>
  <c r="J27" i="1"/>
  <c r="K48" i="9" s="1"/>
  <c r="J5" i="1"/>
  <c r="K10" i="9" s="1"/>
  <c r="K6" i="1"/>
  <c r="L11" i="9" s="1"/>
  <c r="K7" i="1"/>
  <c r="L12" i="9" s="1"/>
  <c r="K8" i="1"/>
  <c r="L13" i="9" s="1"/>
  <c r="K9" i="1"/>
  <c r="L14" i="9" s="1"/>
  <c r="K10" i="1"/>
  <c r="L15" i="9" s="1"/>
  <c r="K11" i="1"/>
  <c r="L16" i="9" s="1"/>
  <c r="K12" i="1"/>
  <c r="L17" i="9" s="1"/>
  <c r="K13" i="1"/>
  <c r="L18" i="9" s="1"/>
  <c r="K14" i="1"/>
  <c r="L19" i="9" s="1"/>
  <c r="K15" i="1"/>
  <c r="L20" i="9" s="1"/>
  <c r="K16" i="1"/>
  <c r="L21" i="9" s="1"/>
  <c r="K17" i="1"/>
  <c r="L22" i="9" s="1"/>
  <c r="K18" i="1"/>
  <c r="L23" i="9" s="1"/>
  <c r="K19" i="1"/>
  <c r="L24" i="9" s="1"/>
  <c r="K20" i="1"/>
  <c r="L25" i="9" s="1"/>
  <c r="K21" i="1"/>
  <c r="L26" i="9" s="1"/>
  <c r="K22" i="1"/>
  <c r="L27" i="9" s="1"/>
  <c r="K23" i="1"/>
  <c r="L28" i="9" s="1"/>
  <c r="K24" i="1"/>
  <c r="L29" i="9" s="1"/>
  <c r="K25" i="1"/>
  <c r="L46" i="9" s="1"/>
  <c r="K26" i="1"/>
  <c r="L47" i="9" s="1"/>
  <c r="K27" i="1"/>
  <c r="L48" i="9" s="1"/>
  <c r="K5" i="1"/>
  <c r="L10" i="9" s="1"/>
  <c r="O14" i="1"/>
  <c r="G11" i="5" s="1"/>
  <c r="O29" i="1"/>
  <c r="P29" i="1" s="1"/>
  <c r="P50" i="9" s="1"/>
  <c r="O30" i="1"/>
  <c r="P30" i="1" s="1"/>
  <c r="P51" i="9" s="1"/>
  <c r="O31" i="1"/>
  <c r="Q31" i="1" s="1"/>
  <c r="U52" i="9" s="1"/>
  <c r="O32" i="1"/>
  <c r="R32" i="1" s="1"/>
  <c r="V53" i="9" s="1"/>
  <c r="O33" i="1"/>
  <c r="Q33" i="1" s="1"/>
  <c r="U54" i="9" s="1"/>
  <c r="O34" i="1"/>
  <c r="Q34" i="1" s="1"/>
  <c r="U55" i="9" s="1"/>
  <c r="O35" i="1"/>
  <c r="G32" i="5" s="1"/>
  <c r="O28" i="1"/>
  <c r="Q28" i="1" s="1"/>
  <c r="U49" i="9" s="1"/>
  <c r="O6" i="1"/>
  <c r="R6" i="1" s="1"/>
  <c r="V11" i="9" s="1"/>
  <c r="O7" i="1"/>
  <c r="P7" i="1" s="1"/>
  <c r="P12" i="9" s="1"/>
  <c r="O8" i="1"/>
  <c r="O9" i="1"/>
  <c r="P9" i="1" s="1"/>
  <c r="P14" i="9" s="1"/>
  <c r="O10" i="1"/>
  <c r="R10" i="1" s="1"/>
  <c r="V15" i="9" s="1"/>
  <c r="O11" i="1"/>
  <c r="G8" i="5" s="1"/>
  <c r="O12" i="1"/>
  <c r="G9" i="5" s="1"/>
  <c r="O13" i="1"/>
  <c r="G10" i="5" s="1"/>
  <c r="O15" i="1"/>
  <c r="R15" i="1" s="1"/>
  <c r="V20" i="9" s="1"/>
  <c r="O16" i="1"/>
  <c r="Q16" i="1" s="1"/>
  <c r="U21" i="9" s="1"/>
  <c r="O17" i="1"/>
  <c r="G14" i="5" s="1"/>
  <c r="O18" i="1"/>
  <c r="G15" i="5" s="1"/>
  <c r="O19" i="1"/>
  <c r="G16" i="5" s="1"/>
  <c r="O20" i="1"/>
  <c r="G17" i="5" s="1"/>
  <c r="O21" i="1"/>
  <c r="R21" i="1" s="1"/>
  <c r="V26" i="9" s="1"/>
  <c r="O22" i="1"/>
  <c r="O23" i="1"/>
  <c r="R23" i="1" s="1"/>
  <c r="V28" i="9" s="1"/>
  <c r="O24" i="1"/>
  <c r="R24" i="1" s="1"/>
  <c r="V29" i="9" s="1"/>
  <c r="O25" i="1"/>
  <c r="G22" i="5" s="1"/>
  <c r="O26" i="1"/>
  <c r="R26" i="1" s="1"/>
  <c r="V47" i="9" s="1"/>
  <c r="O27" i="1"/>
  <c r="P27" i="1" s="1"/>
  <c r="P48" i="9" s="1"/>
  <c r="O5" i="1"/>
  <c r="R5" i="1" s="1"/>
  <c r="V10" i="9" s="1"/>
  <c r="V30" i="9" s="1"/>
  <c r="V44" i="9" s="1"/>
  <c r="V58" i="9" s="1"/>
  <c r="J2" i="5"/>
  <c r="D2" i="5" s="1"/>
  <c r="L1" i="1"/>
  <c r="L39" i="9" s="1"/>
  <c r="A4" i="5"/>
  <c r="N29" i="1"/>
  <c r="O50" i="9" s="1"/>
  <c r="I28" i="1"/>
  <c r="J49" i="9" s="1"/>
  <c r="H28" i="1"/>
  <c r="I49"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H5" i="1"/>
  <c r="I10" i="9" s="1"/>
  <c r="H6" i="1"/>
  <c r="I11" i="9" s="1"/>
  <c r="N36" i="1"/>
  <c r="O57" i="9" s="1"/>
  <c r="I36" i="1"/>
  <c r="J57" i="9" s="1"/>
  <c r="H36" i="1"/>
  <c r="I57" i="9" s="1"/>
  <c r="G36" i="1"/>
  <c r="H57" i="9" s="1"/>
  <c r="N35" i="1"/>
  <c r="O56" i="9" s="1"/>
  <c r="I35" i="1"/>
  <c r="J56" i="9" s="1"/>
  <c r="H35" i="1"/>
  <c r="I56" i="9" s="1"/>
  <c r="G35" i="1"/>
  <c r="H56" i="9" s="1"/>
  <c r="N34" i="1"/>
  <c r="O55" i="9" s="1"/>
  <c r="I34" i="1"/>
  <c r="J55" i="9" s="1"/>
  <c r="H34" i="1"/>
  <c r="I55" i="9" s="1"/>
  <c r="G34" i="1"/>
  <c r="H55" i="9" s="1"/>
  <c r="N33" i="1"/>
  <c r="O54" i="9" s="1"/>
  <c r="I33" i="1"/>
  <c r="J54" i="9" s="1"/>
  <c r="H33" i="1"/>
  <c r="I54" i="9" s="1"/>
  <c r="G33" i="1"/>
  <c r="H54" i="9" s="1"/>
  <c r="N32" i="1"/>
  <c r="O53" i="9" s="1"/>
  <c r="I32" i="1"/>
  <c r="J53" i="9" s="1"/>
  <c r="H32" i="1"/>
  <c r="I53" i="9" s="1"/>
  <c r="G32" i="1"/>
  <c r="H53" i="9" s="1"/>
  <c r="N31" i="1"/>
  <c r="O52" i="9" s="1"/>
  <c r="I31" i="1"/>
  <c r="J52" i="9" s="1"/>
  <c r="H31" i="1"/>
  <c r="I52" i="9" s="1"/>
  <c r="G31" i="1"/>
  <c r="H52" i="9" s="1"/>
  <c r="N30" i="1"/>
  <c r="O51" i="9" s="1"/>
  <c r="I30" i="1"/>
  <c r="J51" i="9" s="1"/>
  <c r="H30" i="1"/>
  <c r="I51" i="9" s="1"/>
  <c r="G30" i="1"/>
  <c r="H51" i="9" s="1"/>
  <c r="I29" i="1"/>
  <c r="J50" i="9" s="1"/>
  <c r="H29" i="1"/>
  <c r="I50" i="9" s="1"/>
  <c r="G29" i="1"/>
  <c r="H50" i="9" s="1"/>
  <c r="N28" i="1"/>
  <c r="O49" i="9" s="1"/>
  <c r="G28" i="1"/>
  <c r="H49" i="9" s="1"/>
  <c r="G5" i="1"/>
  <c r="H10" i="9" s="1"/>
  <c r="N6" i="1"/>
  <c r="O11" i="9" s="1"/>
  <c r="N7" i="1"/>
  <c r="O12" i="9" s="1"/>
  <c r="N8" i="1"/>
  <c r="O13" i="9" s="1"/>
  <c r="N9" i="1"/>
  <c r="O14" i="9" s="1"/>
  <c r="N10" i="1"/>
  <c r="O15" i="9" s="1"/>
  <c r="N11" i="1"/>
  <c r="O16" i="9" s="1"/>
  <c r="N12" i="1"/>
  <c r="O17" i="9" s="1"/>
  <c r="N13" i="1"/>
  <c r="O18" i="9" s="1"/>
  <c r="N14" i="1"/>
  <c r="O19" i="9" s="1"/>
  <c r="N15" i="1"/>
  <c r="N16" i="1"/>
  <c r="N17" i="1"/>
  <c r="N18" i="1"/>
  <c r="N19" i="1"/>
  <c r="N20" i="1"/>
  <c r="N21" i="1"/>
  <c r="N22" i="1"/>
  <c r="N23" i="1"/>
  <c r="N24" i="1"/>
  <c r="N25" i="1"/>
  <c r="O46" i="9" s="1"/>
  <c r="N26" i="1"/>
  <c r="O47" i="9" s="1"/>
  <c r="N27" i="1"/>
  <c r="O48" i="9" s="1"/>
  <c r="N5" i="1"/>
  <c r="N37" i="1" s="1"/>
  <c r="G6" i="1"/>
  <c r="H11" i="9" s="1"/>
  <c r="I6" i="1"/>
  <c r="J11" i="9" s="1"/>
  <c r="G7" i="1"/>
  <c r="H12" i="9" s="1"/>
  <c r="H7" i="1"/>
  <c r="I12" i="9" s="1"/>
  <c r="I7" i="1"/>
  <c r="J12" i="9" s="1"/>
  <c r="G8" i="1"/>
  <c r="H13" i="9" s="1"/>
  <c r="H8" i="1"/>
  <c r="I13" i="9" s="1"/>
  <c r="I8" i="1"/>
  <c r="J13" i="9" s="1"/>
  <c r="G9" i="1"/>
  <c r="H14" i="9" s="1"/>
  <c r="H9" i="1"/>
  <c r="I14" i="9" s="1"/>
  <c r="I9" i="1"/>
  <c r="J14" i="9" s="1"/>
  <c r="G10" i="1"/>
  <c r="H15" i="9" s="1"/>
  <c r="H10" i="1"/>
  <c r="I15" i="9" s="1"/>
  <c r="I10" i="1"/>
  <c r="J15" i="9" s="1"/>
  <c r="G11" i="1"/>
  <c r="H16" i="9" s="1"/>
  <c r="H11" i="1"/>
  <c r="I16" i="9" s="1"/>
  <c r="I11" i="1"/>
  <c r="J16" i="9" s="1"/>
  <c r="G12" i="1"/>
  <c r="H17" i="9" s="1"/>
  <c r="H12" i="1"/>
  <c r="I17" i="9" s="1"/>
  <c r="I12" i="1"/>
  <c r="J17" i="9" s="1"/>
  <c r="G13" i="1"/>
  <c r="H18" i="9" s="1"/>
  <c r="H13" i="1"/>
  <c r="I18" i="9" s="1"/>
  <c r="I13" i="1"/>
  <c r="J18" i="9" s="1"/>
  <c r="G14" i="1"/>
  <c r="H19" i="9" s="1"/>
  <c r="H14" i="1"/>
  <c r="I19" i="9" s="1"/>
  <c r="I14" i="1"/>
  <c r="J19" i="9" s="1"/>
  <c r="G15" i="1"/>
  <c r="H20" i="9" s="1"/>
  <c r="H15" i="1"/>
  <c r="I20" i="9" s="1"/>
  <c r="I15" i="1"/>
  <c r="J20" i="9" s="1"/>
  <c r="G16" i="1"/>
  <c r="H21" i="9" s="1"/>
  <c r="H16" i="1"/>
  <c r="I21" i="9" s="1"/>
  <c r="I16" i="1"/>
  <c r="J21" i="9" s="1"/>
  <c r="G17" i="1"/>
  <c r="H22" i="9" s="1"/>
  <c r="H17" i="1"/>
  <c r="I22" i="9" s="1"/>
  <c r="I17" i="1"/>
  <c r="J22" i="9" s="1"/>
  <c r="G18" i="1"/>
  <c r="H23" i="9" s="1"/>
  <c r="H18" i="1"/>
  <c r="I23" i="9" s="1"/>
  <c r="I18" i="1"/>
  <c r="J23" i="9" s="1"/>
  <c r="G19" i="1"/>
  <c r="H24" i="9" s="1"/>
  <c r="H19" i="1"/>
  <c r="I24" i="9" s="1"/>
  <c r="I19" i="1"/>
  <c r="J24" i="9" s="1"/>
  <c r="G20" i="1"/>
  <c r="H25" i="9" s="1"/>
  <c r="H20" i="1"/>
  <c r="I25" i="9" s="1"/>
  <c r="I20" i="1"/>
  <c r="J25" i="9" s="1"/>
  <c r="G21" i="1"/>
  <c r="H26" i="9" s="1"/>
  <c r="H21" i="1"/>
  <c r="I26" i="9" s="1"/>
  <c r="I21" i="1"/>
  <c r="J26" i="9" s="1"/>
  <c r="G22" i="1"/>
  <c r="H27" i="9" s="1"/>
  <c r="H22" i="1"/>
  <c r="I27" i="9" s="1"/>
  <c r="I22" i="1"/>
  <c r="J27" i="9" s="1"/>
  <c r="G23" i="1"/>
  <c r="H28" i="9" s="1"/>
  <c r="H23" i="1"/>
  <c r="I28" i="9" s="1"/>
  <c r="I23" i="1"/>
  <c r="J28" i="9" s="1"/>
  <c r="G24" i="1"/>
  <c r="H29" i="9" s="1"/>
  <c r="H24" i="1"/>
  <c r="I29" i="9" s="1"/>
  <c r="I24" i="1"/>
  <c r="J29" i="9" s="1"/>
  <c r="G25" i="1"/>
  <c r="H46" i="9" s="1"/>
  <c r="H25" i="1"/>
  <c r="I46" i="9" s="1"/>
  <c r="I25" i="1"/>
  <c r="J46" i="9" s="1"/>
  <c r="G26" i="1"/>
  <c r="H47" i="9" s="1"/>
  <c r="H26" i="1"/>
  <c r="I47" i="9" s="1"/>
  <c r="I26" i="1"/>
  <c r="J47" i="9" s="1"/>
  <c r="G27" i="1"/>
  <c r="H48" i="9" s="1"/>
  <c r="H27" i="1"/>
  <c r="I48" i="9" s="1"/>
  <c r="I27" i="1"/>
  <c r="J48" i="9" s="1"/>
  <c r="I5" i="1"/>
  <c r="J10" i="9" s="1"/>
  <c r="I30" i="9" l="1"/>
  <c r="I44" i="9" s="1"/>
  <c r="I58" i="9" s="1"/>
  <c r="J31" i="9"/>
  <c r="J45" i="9" s="1"/>
  <c r="J59" i="9" s="1"/>
  <c r="O10" i="9"/>
  <c r="L30" i="9"/>
  <c r="L44" i="9" s="1"/>
  <c r="L58" i="9" s="1"/>
  <c r="H31" i="9"/>
  <c r="H45" i="9" s="1"/>
  <c r="H59" i="9" s="1"/>
  <c r="L31" i="9"/>
  <c r="L45" i="9" s="1"/>
  <c r="L59" i="9" s="1"/>
  <c r="K31" i="9"/>
  <c r="K45" i="9" s="1"/>
  <c r="K59" i="9" s="1"/>
  <c r="K30" i="9"/>
  <c r="K44" i="9" s="1"/>
  <c r="K58" i="9" s="1"/>
  <c r="J30" i="9"/>
  <c r="J44" i="9" s="1"/>
  <c r="J58" i="9" s="1"/>
  <c r="I31" i="9"/>
  <c r="I45" i="9" s="1"/>
  <c r="I59" i="9" s="1"/>
  <c r="H30" i="9"/>
  <c r="H44" i="9" s="1"/>
  <c r="H58" i="9" s="1"/>
  <c r="L5" i="9"/>
  <c r="G26" i="5"/>
  <c r="G38" i="1"/>
  <c r="I37" i="1"/>
  <c r="J38" i="1"/>
  <c r="H37" i="1"/>
  <c r="H38" i="1"/>
  <c r="N38" i="1"/>
  <c r="G37" i="1"/>
  <c r="I38" i="1"/>
  <c r="K37" i="1"/>
  <c r="J37" i="1"/>
  <c r="K38" i="1"/>
  <c r="R28" i="1"/>
  <c r="V49" i="9" s="1"/>
  <c r="P28" i="1"/>
  <c r="P49" i="9" s="1"/>
  <c r="Q36" i="1"/>
  <c r="U57" i="9" s="1"/>
  <c r="P36" i="1"/>
  <c r="P57" i="9" s="1"/>
  <c r="Q35" i="1"/>
  <c r="U56" i="9" s="1"/>
  <c r="R31" i="1"/>
  <c r="V52" i="9" s="1"/>
  <c r="R30" i="1"/>
  <c r="V51" i="9" s="1"/>
  <c r="G25" i="5"/>
  <c r="R29" i="1"/>
  <c r="V50" i="9" s="1"/>
  <c r="P35" i="1"/>
  <c r="P56" i="9" s="1"/>
  <c r="G31" i="5"/>
  <c r="R34" i="1"/>
  <c r="V55" i="9" s="1"/>
  <c r="G30" i="5"/>
  <c r="R33" i="1"/>
  <c r="V54" i="9" s="1"/>
  <c r="G29" i="5"/>
  <c r="Q32" i="1"/>
  <c r="U53" i="9" s="1"/>
  <c r="G28" i="5"/>
  <c r="P31" i="1"/>
  <c r="P52" i="9" s="1"/>
  <c r="Q30" i="1"/>
  <c r="U51" i="9" s="1"/>
  <c r="G27" i="5"/>
  <c r="Q29" i="1"/>
  <c r="U50" i="9" s="1"/>
  <c r="R36" i="1"/>
  <c r="V57" i="9" s="1"/>
  <c r="P34" i="1"/>
  <c r="P55" i="9" s="1"/>
  <c r="R35" i="1"/>
  <c r="V56" i="9" s="1"/>
  <c r="P33" i="1"/>
  <c r="P54" i="9" s="1"/>
  <c r="P32" i="1"/>
  <c r="P53" i="9" s="1"/>
  <c r="Q27" i="1"/>
  <c r="U48" i="9" s="1"/>
  <c r="R27" i="1"/>
  <c r="V48" i="9" s="1"/>
  <c r="Q24" i="1"/>
  <c r="U29" i="9" s="1"/>
  <c r="Q26" i="1"/>
  <c r="U47" i="9" s="1"/>
  <c r="Q23" i="1"/>
  <c r="U28" i="9" s="1"/>
  <c r="R25" i="1"/>
  <c r="V46" i="9" s="1"/>
  <c r="Q25" i="1"/>
  <c r="U46" i="9" s="1"/>
  <c r="E13" i="5"/>
  <c r="D13" i="5"/>
  <c r="E9" i="5"/>
  <c r="D9" i="5"/>
  <c r="P8" i="1"/>
  <c r="P13" i="9" s="1"/>
  <c r="R8" i="1"/>
  <c r="V13" i="9" s="1"/>
  <c r="G19" i="5"/>
  <c r="R22" i="1"/>
  <c r="V27" i="9" s="1"/>
  <c r="Q22" i="1"/>
  <c r="U27" i="9" s="1"/>
  <c r="Q21" i="1"/>
  <c r="U26" i="9" s="1"/>
  <c r="Q20" i="1"/>
  <c r="U25" i="9" s="1"/>
  <c r="R20" i="1"/>
  <c r="V25" i="9" s="1"/>
  <c r="Q19" i="1"/>
  <c r="U24" i="9" s="1"/>
  <c r="R19" i="1"/>
  <c r="V24" i="9" s="1"/>
  <c r="R18" i="1"/>
  <c r="V23" i="9" s="1"/>
  <c r="P17" i="1"/>
  <c r="P22" i="9" s="1"/>
  <c r="Q17" i="1"/>
  <c r="U22" i="9" s="1"/>
  <c r="R17" i="1"/>
  <c r="V22" i="9" s="1"/>
  <c r="R16" i="1"/>
  <c r="V21" i="9" s="1"/>
  <c r="P16" i="1"/>
  <c r="P21" i="9" s="1"/>
  <c r="G13" i="5"/>
  <c r="Q13" i="1"/>
  <c r="U18" i="9" s="1"/>
  <c r="Q12" i="1"/>
  <c r="U17" i="9" s="1"/>
  <c r="Q11" i="1"/>
  <c r="U16" i="9" s="1"/>
  <c r="R11" i="1"/>
  <c r="V16" i="9" s="1"/>
  <c r="Q10" i="1"/>
  <c r="U15" i="9" s="1"/>
  <c r="P10" i="1"/>
  <c r="P15" i="9" s="1"/>
  <c r="G7" i="5"/>
  <c r="G6" i="5"/>
  <c r="Q8" i="1"/>
  <c r="U13" i="9" s="1"/>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R7" i="1"/>
  <c r="V12" i="9" s="1"/>
  <c r="P6" i="1"/>
  <c r="P11" i="9" s="1"/>
  <c r="G3" i="5"/>
  <c r="Q7" i="1"/>
  <c r="U12" i="9" s="1"/>
  <c r="Q6" i="1"/>
  <c r="U11" i="9" s="1"/>
  <c r="Q5" i="1"/>
  <c r="G4" i="5"/>
  <c r="Q18" i="1"/>
  <c r="U23" i="9" s="1"/>
  <c r="R14" i="1"/>
  <c r="V19" i="9" s="1"/>
  <c r="Q15" i="1"/>
  <c r="U20" i="9" s="1"/>
  <c r="R13" i="1"/>
  <c r="V18" i="9" s="1"/>
  <c r="V31" i="9" s="1"/>
  <c r="V45" i="9" s="1"/>
  <c r="V59" i="9" s="1"/>
  <c r="Q14" i="1"/>
  <c r="U19" i="9" s="1"/>
  <c r="R12" i="1"/>
  <c r="V17" i="9" s="1"/>
  <c r="P11" i="1"/>
  <c r="P16" i="9" s="1"/>
  <c r="G12" i="5"/>
  <c r="Q9" i="1"/>
  <c r="U14" i="9" s="1"/>
  <c r="R9" i="1"/>
  <c r="V14" i="9" s="1"/>
  <c r="P15" i="1"/>
  <c r="P20" i="9" s="1"/>
  <c r="P14" i="1"/>
  <c r="P19" i="9" s="1"/>
  <c r="P18" i="1"/>
  <c r="P23" i="9" s="1"/>
  <c r="G21" i="5"/>
  <c r="P12" i="1"/>
  <c r="P17" i="9" s="1"/>
  <c r="P13" i="1"/>
  <c r="P18" i="9" s="1"/>
  <c r="P26" i="1"/>
  <c r="P47" i="9" s="1"/>
  <c r="P24" i="1"/>
  <c r="P29" i="9" s="1"/>
  <c r="G23" i="5"/>
  <c r="P25" i="1"/>
  <c r="P46" i="9" s="1"/>
  <c r="P23" i="1"/>
  <c r="P28" i="9" s="1"/>
  <c r="G24" i="5"/>
  <c r="G20" i="5"/>
  <c r="P22" i="1"/>
  <c r="P27" i="9" s="1"/>
  <c r="P21" i="1"/>
  <c r="P26" i="9" s="1"/>
  <c r="P20" i="1"/>
  <c r="P25" i="9" s="1"/>
  <c r="P19" i="1"/>
  <c r="P24" i="9" s="1"/>
  <c r="G18" i="5"/>
  <c r="G2" i="5"/>
  <c r="P5" i="1"/>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O31" i="9" l="1"/>
  <c r="O45" i="9" s="1"/>
  <c r="O59" i="9" s="1"/>
  <c r="O30" i="9"/>
  <c r="O44" i="9" s="1"/>
  <c r="O58" i="9" s="1"/>
  <c r="Q37" i="1"/>
  <c r="Q38" i="1" s="1"/>
  <c r="P37" i="1"/>
  <c r="P38" i="1" s="1"/>
  <c r="R37" i="1"/>
  <c r="R38" i="1" s="1"/>
  <c r="P10" i="9"/>
  <c r="P31" i="9" s="1"/>
  <c r="P45" i="9" s="1"/>
  <c r="P59" i="9" s="1"/>
  <c r="U10" i="9"/>
  <c r="U31" i="9" s="1"/>
  <c r="U45" i="9" s="1"/>
  <c r="U59" i="9" s="1"/>
  <c r="F13" i="5"/>
  <c r="F9" i="5"/>
  <c r="U30" i="9" l="1"/>
  <c r="U44" i="9" s="1"/>
  <c r="U58" i="9" s="1"/>
  <c r="P30" i="9"/>
  <c r="P44" i="9" s="1"/>
  <c r="P58" i="9" s="1"/>
  <c r="O45" i="1"/>
  <c r="K45" i="1" s="1"/>
  <c r="M45" i="1" s="1"/>
  <c r="O46" i="1" l="1"/>
  <c r="G45" i="1"/>
  <c r="I45" i="1" s="1"/>
  <c r="F45" i="1"/>
  <c r="V61" i="9"/>
  <c r="V63" i="9" s="1"/>
  <c r="N61" i="9"/>
  <c r="N63" i="9" s="1"/>
  <c r="E46" i="1" l="1"/>
  <c r="F46" i="1"/>
  <c r="G46" i="1"/>
  <c r="I46" i="1" s="1"/>
  <c r="K46" i="1"/>
  <c r="M46" i="1" s="1"/>
  <c r="S46" i="1" a="1"/>
  <c r="S4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1" authorId="0" shapeId="0" xr:uid="{7FF81186-744E-438C-9B42-4840C19F9209}">
      <text>
        <r>
          <rPr>
            <b/>
            <sz val="9"/>
            <color indexed="81"/>
            <rFont val="Tahoma"/>
            <family val="2"/>
          </rPr>
          <t>Chris White:</t>
        </r>
        <r>
          <rPr>
            <sz val="9"/>
            <color indexed="81"/>
            <rFont val="Tahoma"/>
            <family val="2"/>
          </rPr>
          <t xml:space="preserve">
Use CTRL+; to enter the date</t>
        </r>
      </text>
    </comment>
    <comment ref="B2" authorId="0" shapeId="0" xr:uid="{CC903748-C966-4B7D-B2BA-08366E1A27B3}">
      <text>
        <r>
          <rPr>
            <sz val="11"/>
            <color theme="1"/>
            <rFont val="Calibri"/>
            <family val="2"/>
            <scheme val="minor"/>
          </rPr>
          <t xml:space="preserve">Chris White:
Select pilot from drop down list. Add a pilot in the hidden DATA sheet if required.
</t>
        </r>
      </text>
    </comment>
    <comment ref="C2" authorId="0" shapeId="0" xr:uid="{A7AEC074-C38F-4ABA-B44A-00057C6AC293}">
      <text>
        <r>
          <rPr>
            <b/>
            <sz val="9"/>
            <color indexed="81"/>
            <rFont val="Tahoma"/>
            <family val="2"/>
          </rPr>
          <t>Chris White:</t>
        </r>
        <r>
          <rPr>
            <sz val="9"/>
            <color indexed="81"/>
            <rFont val="Tahoma"/>
            <family val="2"/>
          </rPr>
          <t xml:space="preserve">
Type surname</t>
        </r>
      </text>
    </comment>
    <comment ref="D2" authorId="0" shapeId="0" xr:uid="{197224AE-7EE6-40F6-9F71-ABF80807EE08}">
      <text>
        <r>
          <rPr>
            <b/>
            <sz val="9"/>
            <color indexed="81"/>
            <rFont val="Tahoma"/>
            <family val="2"/>
          </rPr>
          <t>Chris White:</t>
        </r>
        <r>
          <rPr>
            <sz val="9"/>
            <color indexed="81"/>
            <rFont val="Tahoma"/>
            <family val="2"/>
          </rPr>
          <t xml:space="preserve">
Choose duty from the drop down list</t>
        </r>
      </text>
    </comment>
    <comment ref="E2" authorId="0" shapeId="0" xr:uid="{EDB7AE6F-47FF-4753-B4E9-E68B706AE89E}">
      <text>
        <r>
          <rPr>
            <b/>
            <sz val="9"/>
            <color indexed="81"/>
            <rFont val="Tahoma"/>
            <family val="2"/>
          </rPr>
          <t>Chris White:</t>
        </r>
        <r>
          <rPr>
            <sz val="9"/>
            <color indexed="81"/>
            <rFont val="Tahoma"/>
            <family val="2"/>
          </rPr>
          <t xml:space="preserve">
Use CTR+SHIFT+; to enter the time of landing</t>
        </r>
      </text>
    </comment>
    <comment ref="F2" authorId="0" shapeId="0" xr:uid="{5DD7F8D5-F565-4D49-A441-96AE9B02D7FB}">
      <text>
        <r>
          <rPr>
            <b/>
            <sz val="9"/>
            <color indexed="81"/>
            <rFont val="Tahoma"/>
            <family val="2"/>
          </rPr>
          <t>Chris White:</t>
        </r>
        <r>
          <rPr>
            <sz val="9"/>
            <color indexed="81"/>
            <rFont val="Tahoma"/>
            <family val="2"/>
          </rPr>
          <t xml:space="preserve">
Use CTR+SHIFT+; to enter the time of landing</t>
        </r>
      </text>
    </comment>
    <comment ref="D4" authorId="0" shapeId="0" xr:uid="{D76B8388-8FB3-4750-B539-60DADBBF3EF6}">
      <text>
        <r>
          <rPr>
            <b/>
            <sz val="9"/>
            <color indexed="81"/>
            <rFont val="Tahoma"/>
            <family val="2"/>
          </rPr>
          <t>Chris White:</t>
        </r>
        <r>
          <rPr>
            <sz val="9"/>
            <color indexed="81"/>
            <rFont val="Tahoma"/>
            <family val="2"/>
          </rPr>
          <t xml:space="preserve">
Choose duty from the drop down list</t>
        </r>
      </text>
    </comment>
    <comment ref="L4" authorId="1" shapeId="0" xr:uid="{E553E72B-7E0F-47DA-BBAE-EBD6575271BE}">
      <text>
        <r>
          <rPr>
            <b/>
            <sz val="9"/>
            <color indexed="81"/>
            <rFont val="Tahoma"/>
            <charset val="1"/>
          </rPr>
          <t>Michael Jennings:</t>
        </r>
        <r>
          <rPr>
            <sz val="9"/>
            <color indexed="81"/>
            <rFont val="Tahoma"/>
            <charset val="1"/>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<sst xmlns="http://schemas.openxmlformats.org/spreadsheetml/2006/main" count="227" uniqueCount="153">
  <si>
    <t>Enter aircraft number and date along the top</t>
  </si>
  <si>
    <t>At the end of the day, ensure this file is saved to "661 VGS Sharepoint &gt; 661 VGS Documents &gt; Log Sheets" or emailed to the stats/GUR individual</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</si>
  <si>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</si>
  <si>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</si>
  <si>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</si>
  <si>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</si>
  <si>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</si>
  <si>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</si>
  <si>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</si>
  <si>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</si>
  <si>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</si>
  <si>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</si>
  <si>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</si>
  <si>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</si>
  <si>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</si>
  <si>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</si>
  <si>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</si>
  <si>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</si>
  <si>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</si>
  <si>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</si>
  <si>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</si>
  <si>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</si>
  <si>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</si>
  <si>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</si>
  <si>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</si>
  <si>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</si>
  <si>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</si>
  <si>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</si>
  <si>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</si>
  <si>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</si>
  <si>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</si>
  <si>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</si>
  <si>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</si>
  <si>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</si>
  <si>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</si>
  <si>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</si>
  <si>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</si>
  <si>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</si>
  <si>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</si>
  <si>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</si>
  <si>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</si>
  <si>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</si>
  <si>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</si>
  <si>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</si>
  <si>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</si>
  <si>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</si>
  <si>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</si>
  <si>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</si>
  <si>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</si>
  <si>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</si>
  <si>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</si>
  <si>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</si>
  <si>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</si>
  <si>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</si>
  <si>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</si>
  <si>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</si>
  <si>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</si>
  <si>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</si>
  <si>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</si>
  <si>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</si>
  <si>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</si>
  <si>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</si>
  <si>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</si>
  <si>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</si>
  <si>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</si>
  <si>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</si>
  <si>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</si>
  <si>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</si>
  <si>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</si>
  <si>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Avann</t>
  </si>
  <si>
    <t>Baker</t>
  </si>
  <si>
    <t>SCT QGI</t>
  </si>
  <si>
    <t>Birrell</t>
  </si>
  <si>
    <t>SCT U/T</t>
  </si>
  <si>
    <t>Blair</t>
  </si>
  <si>
    <t>PAX</t>
  </si>
  <si>
    <t>Burton</t>
  </si>
  <si>
    <t>Cave</t>
  </si>
  <si>
    <t>Delaney</t>
  </si>
  <si>
    <t>Eagleson</t>
  </si>
  <si>
    <t>Gallagher</t>
  </si>
  <si>
    <t>Goddard</t>
  </si>
  <si>
    <t>Gunning</t>
  </si>
  <si>
    <t>Henderson</t>
  </si>
  <si>
    <t>Henstock</t>
  </si>
  <si>
    <t>Jennings</t>
  </si>
  <si>
    <t>Law</t>
  </si>
  <si>
    <t>Lewis</t>
  </si>
  <si>
    <t>Link</t>
  </si>
  <si>
    <t>MacGregor</t>
  </si>
  <si>
    <t>Maisey</t>
  </si>
  <si>
    <t>McCormick</t>
  </si>
  <si>
    <t>McNeill</t>
  </si>
  <si>
    <t>Mockeridge</t>
  </si>
  <si>
    <t>Nichols</t>
  </si>
  <si>
    <t>Parker</t>
  </si>
  <si>
    <t>Patterson</t>
  </si>
  <si>
    <t>Phillips</t>
  </si>
  <si>
    <t>Ritchie</t>
  </si>
  <si>
    <t>Soutar</t>
  </si>
  <si>
    <t>Suggett</t>
  </si>
  <si>
    <t>Toland</t>
  </si>
  <si>
    <t>Tuach</t>
  </si>
  <si>
    <t>Walker</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</si>
  <si>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</si>
  <si>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</si>
  <si>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</si>
  <si>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</si>
  <si>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</si>
  <si>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</si>
  <si>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</si>
  <si>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</si>
  <si>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</si>
  <si>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</si>
  <si>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</si>
  <si>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</si>
  <si>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</si>
  <si>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</si>
  <si>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</si>
  <si>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Run the flow (on desktop &gt; "run flow")</t>
  </si>
  <si>
    <t>If you really need to, the editing password is "Viking"</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</si>
  <si>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</si>
  <si>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</si>
  <si>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</si>
  <si>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</si>
  <si>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</si>
  <si>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</si>
  <si>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</si>
  <si>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</si>
  <si>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</si>
  <si>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</si>
  <si>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</si>
  <si>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</si>
  <si>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</si>
  <si>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</si>
  <si>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</si>
  <si>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</si>
  <si>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</si>
  <si>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</si>
  <si>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</si>
  <si>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</si>
  <si>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</si>
  <si>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</si>
  <si>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</si>
  <si>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</si>
  <si>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</si>
  <si>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</si>
  <si>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</si>
  <si>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</si>
  <si>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</si>
  <si>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Instructions for use - Version 2.0.0</t>
  </si>
  <si>
    <t>F724 Hours B/F</t>
  </si>
  <si>
    <t>F724 Launches B/F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</si>
</sst>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1"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ont>
    <font>
      <sz val="11"/>
      <color rgb="FFFF0000"/>
      <name val="Calibri"/>
      <family val="2"/>
      <scheme val="minor"/>
    </font>
    <font>
      <sz val="9"/>
      <color indexed="81"/>
      <name val="Tahoma"/>
      <charset val="1"/>
    </font>
    <font>
      <b/>
      <sz val="9"/>
      <color indexed="81"/>
      <name val="Tahoma"/>
      <charset val="1"/>
    </font>
    <font>
      <sz val="11"/>
      <color rgb="FF000000"/>
      <name val="Calibri"/>
      <family val="2"/>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9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theme="0" tint="-0.499984740745262"/>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style="thin">
        <color theme="0" tint="-0.499984740745262"/>
      </left>
      <right style="thin">
        <color theme="0" tint="-0.499984740745262"/>
      </right>
      <top/>
      <bottom style="medium">
        <color indexed="64"/>
      </bottom>
      <diagonal/>
    </border>
    <border>
      <left style="thin">
        <color theme="0" tint="-0.499984740745262"/>
      </left>
      <right style="medium">
        <color indexed="64"/>
      </right>
      <top/>
      <bottom style="medium">
        <color indexed="64"/>
      </bottom>
      <diagonal/>
    </border>
    <border>
      <left/>
      <right/>
      <top style="medium">
        <color indexed="64"/>
      </top>
      <bottom/>
      <diagonal/>
    </border>
    <border>
      <left style="medium">
        <color indexed="64"/>
      </left>
      <right style="medium">
        <color indexed="64"/>
      </right>
      <top style="thin">
        <color theme="0" tint="-0.499984740745262"/>
      </top>
      <bottom/>
      <diagonal/>
    </border>
    <border>
      <left style="medium">
        <color indexed="64"/>
      </left>
      <right style="medium">
        <color indexed="64"/>
      </right>
      <top style="medium">
        <color indexed="64"/>
      </top>
      <bottom style="thin">
        <color theme="0" tint="-0.499984740745262"/>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style="thin">
        <color indexed="64"/>
      </top>
      <bottom style="thin">
        <color theme="0" tint="-0.499984740745262"/>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medium">
        <color indexed="64"/>
      </right>
      <top style="thin">
        <color indexed="64"/>
      </top>
      <bottom style="thin">
        <color theme="0" tint="-0.499984740745262"/>
      </bottom>
      <diagonal/>
    </border>
    <border>
      <left/>
      <right style="medium">
        <color indexed="64"/>
      </right>
      <top style="thin">
        <color indexed="64"/>
      </top>
      <bottom style="thin">
        <color theme="0" tint="-0.499984740745262"/>
      </bottom>
      <diagonal/>
    </border>
    <border>
      <left style="medium">
        <color indexed="64"/>
      </left>
      <right style="thin">
        <color indexed="64"/>
      </right>
      <top style="thin">
        <color indexed="64"/>
      </top>
      <bottom style="thin">
        <color theme="0" tint="-0.499984740745262"/>
      </bottom>
      <diagonal/>
    </border>
    <border>
      <left style="thin">
        <color indexed="64"/>
      </left>
      <right/>
      <top style="thin">
        <color indexed="64"/>
      </top>
      <bottom style="thin">
        <color theme="0" tint="-0.499984740745262"/>
      </bottom>
      <diagonal/>
    </border>
    <border>
      <left style="medium">
        <color indexed="64"/>
      </left>
      <right style="thin">
        <color theme="0" tint="-0.499984740745262"/>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theme="0" tint="-0.499984740745262"/>
      </bottom>
      <diagonal/>
    </border>
    <border>
      <left style="thin">
        <color indexed="64"/>
      </left>
      <right style="thin">
        <color indexed="64"/>
      </right>
      <top style="medium">
        <color indexed="64"/>
      </top>
      <bottom style="thin">
        <color theme="0" tint="-0.499984740745262"/>
      </bottom>
      <diagonal/>
    </border>
    <border>
      <left style="thin">
        <color indexed="64"/>
      </left>
      <right style="medium">
        <color indexed="64"/>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right style="thin">
        <color indexed="64"/>
      </right>
      <top style="medium">
        <color indexed="64"/>
      </top>
      <bottom style="thin">
        <color theme="0" tint="-0.499984740745262"/>
      </bottom>
      <diagonal/>
    </border>
    <border>
      <left style="thin">
        <color indexed="64"/>
      </left>
      <right/>
      <top style="medium">
        <color indexed="64"/>
      </top>
      <bottom style="thin">
        <color theme="0" tint="-0.499984740745262"/>
      </bottom>
      <diagonal/>
    </border>
    <border>
      <left style="medium">
        <color indexed="64"/>
      </left>
      <right style="medium">
        <color indexed="64"/>
      </right>
      <top/>
      <bottom style="thin">
        <color indexed="64"/>
      </bottom>
      <diagonal/>
    </border>
  </borders>
  <cellStyleXfs count="2">
    <xf numFmtId="0" fontId="0" fillId="0" borderId="0"/>
    <xf numFmtId="0" fontId="11" fillId="0" borderId="0" applyNumberFormat="0" applyFill="0" applyBorder="0" applyAlignment="0" applyProtection="0"/>
  </cellStyleXfs>
  <cellXfs count="362">
    <xf numFmtId="0" fontId="0" fillId="0" borderId="0" xfId="0"/>
    <xf numFmtId="0" fontId="1" fillId="0" borderId="0" xfId="0" applyFont="1" applyProtection="1">
      <protection locked="0"/>
    </xf>
    <xf numFmtId="0" fontId="2" fillId="0" borderId="0" xfId="0" applyFont="1" applyAlignment="1" applyProtection="1">
      <alignment horizontal="center"/>
      <protection locked="0"/>
    </xf>
    <xf numFmtId="0" fontId="2" fillId="0" borderId="0" xfId="0" applyFont="1" applyProtection="1">
      <protection locked="0"/>
    </xf>
    <xf numFmtId="0" fontId="1" fillId="0" borderId="5" xfId="0" applyFont="1" applyBorder="1" applyAlignment="1" applyProtection="1">
      <alignment horizontal="center"/>
      <protection locked="0"/>
    </xf>
    <xf numFmtId="0" fontId="1" fillId="0" borderId="29"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30" xfId="0" applyFont="1" applyBorder="1" applyAlignment="1" applyProtection="1">
      <alignment horizontal="center"/>
      <protection locked="0"/>
    </xf>
    <xf numFmtId="0" fontId="5" fillId="0" borderId="25" xfId="0" applyFont="1" applyBorder="1" applyAlignment="1" applyProtection="1">
      <alignment horizontal="center"/>
      <protection locked="0"/>
    </xf>
    <xf numFmtId="0" fontId="5" fillId="0" borderId="26"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5" fillId="0" borderId="27" xfId="0" applyFont="1" applyBorder="1" applyAlignment="1" applyProtection="1">
      <alignment horizontal="center"/>
      <protection locked="0"/>
    </xf>
    <xf numFmtId="0" fontId="5" fillId="0" borderId="28" xfId="0" applyFont="1" applyBorder="1" applyAlignment="1" applyProtection="1">
      <alignment horizontal="center"/>
      <protection locked="0"/>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7" xfId="0" applyNumberFormat="1" applyFont="1" applyBorder="1" applyAlignment="1">
      <alignment horizontal="center"/>
    </xf>
    <xf numFmtId="165" fontId="1" fillId="0" borderId="15" xfId="0" applyNumberFormat="1" applyFont="1" applyBorder="1" applyAlignment="1">
      <alignment horizontal="center"/>
    </xf>
    <xf numFmtId="165" fontId="1" fillId="0" borderId="8" xfId="0" applyNumberFormat="1" applyFont="1" applyBorder="1" applyAlignment="1">
      <alignment horizontal="center"/>
    </xf>
    <xf numFmtId="165" fontId="1" fillId="0" borderId="1" xfId="0" applyNumberFormat="1" applyFont="1" applyBorder="1" applyAlignment="1">
      <alignment horizontal="center"/>
    </xf>
    <xf numFmtId="165" fontId="1" fillId="0" borderId="9" xfId="0" applyNumberFormat="1" applyFont="1" applyBorder="1" applyAlignment="1">
      <alignment horizontal="center"/>
    </xf>
    <xf numFmtId="165" fontId="1" fillId="0" borderId="16" xfId="0" applyNumberFormat="1" applyFont="1" applyBorder="1" applyAlignment="1">
      <alignment horizontal="center"/>
    </xf>
    <xf numFmtId="165" fontId="1" fillId="0" borderId="33" xfId="0" applyNumberFormat="1" applyFont="1" applyBorder="1" applyAlignment="1">
      <alignment horizontal="center"/>
    </xf>
    <xf numFmtId="165" fontId="1" fillId="0" borderId="3" xfId="0" applyNumberFormat="1" applyFont="1" applyBorder="1" applyAlignment="1">
      <alignment horizontal="center"/>
    </xf>
    <xf numFmtId="165" fontId="1" fillId="0" borderId="35"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2" xfId="0" applyNumberFormat="1" applyFont="1" applyBorder="1" applyAlignment="1">
      <alignment horizontal="center"/>
    </xf>
    <xf numFmtId="165" fontId="1" fillId="0" borderId="17" xfId="0" applyNumberFormat="1" applyFont="1" applyBorder="1" applyAlignment="1">
      <alignment horizontal="center"/>
    </xf>
    <xf numFmtId="165" fontId="1" fillId="0" borderId="13" xfId="0" applyNumberFormat="1" applyFont="1" applyBorder="1" applyAlignment="1">
      <alignment horizontal="center"/>
    </xf>
    <xf numFmtId="165" fontId="1" fillId="0" borderId="4" xfId="0" applyNumberFormat="1" applyFont="1" applyBorder="1" applyAlignment="1">
      <alignment horizontal="center"/>
    </xf>
    <xf numFmtId="165" fontId="1" fillId="0" borderId="14" xfId="0" applyNumberFormat="1" applyFont="1" applyBorder="1" applyAlignment="1">
      <alignment horizontal="center"/>
    </xf>
    <xf numFmtId="165" fontId="1" fillId="0" borderId="18" xfId="0" applyNumberFormat="1" applyFont="1" applyBorder="1" applyAlignment="1">
      <alignment horizont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164" fontId="4" fillId="0" borderId="5" xfId="0" applyNumberFormat="1" applyFont="1" applyBorder="1" applyAlignment="1">
      <alignment horizontal="center" vertical="center"/>
    </xf>
    <xf numFmtId="164" fontId="4" fillId="0" borderId="6" xfId="0" applyNumberFormat="1" applyFont="1" applyBorder="1" applyAlignment="1">
      <alignment horizontal="center" vertical="center"/>
    </xf>
    <xf numFmtId="164" fontId="4" fillId="0" borderId="7" xfId="0" applyNumberFormat="1" applyFont="1" applyBorder="1" applyAlignment="1">
      <alignment horizontal="center" vertical="center"/>
    </xf>
    <xf numFmtId="165" fontId="1" fillId="0" borderId="19" xfId="0" applyNumberFormat="1" applyFont="1" applyBorder="1" applyAlignment="1">
      <alignment horizontal="center"/>
    </xf>
    <xf numFmtId="165" fontId="1" fillId="0" borderId="39" xfId="0" applyNumberFormat="1" applyFont="1" applyBorder="1" applyAlignment="1">
      <alignment horizontal="center"/>
    </xf>
    <xf numFmtId="165" fontId="1" fillId="0" borderId="20" xfId="0" applyNumberFormat="1" applyFont="1" applyBorder="1" applyAlignment="1">
      <alignment horizontal="center"/>
    </xf>
    <xf numFmtId="165" fontId="1" fillId="0" borderId="38" xfId="0" applyNumberFormat="1" applyFont="1" applyBorder="1" applyAlignment="1">
      <alignment horizontal="center"/>
    </xf>
    <xf numFmtId="164" fontId="4" fillId="0" borderId="29" xfId="0" applyNumberFormat="1" applyFont="1" applyBorder="1" applyAlignment="1">
      <alignment horizontal="center" vertical="center"/>
    </xf>
    <xf numFmtId="0" fontId="1" fillId="0" borderId="31" xfId="0" applyFont="1" applyBorder="1" applyAlignment="1" applyProtection="1">
      <alignment horizontal="center"/>
      <protection locked="0"/>
    </xf>
    <xf numFmtId="0" fontId="1" fillId="2" borderId="0" xfId="0" applyFont="1" applyFill="1" applyProtection="1">
      <protection locked="0"/>
    </xf>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9" fillId="0" borderId="0" xfId="0" applyFont="1" applyAlignment="1">
      <alignment wrapText="1"/>
    </xf>
    <xf numFmtId="0" fontId="20" fillId="0" borderId="0" xfId="0" applyFont="1"/>
    <xf numFmtId="0" fontId="21" fillId="0" borderId="0" xfId="0" applyFont="1"/>
    <xf numFmtId="0" fontId="23" fillId="0" borderId="0" xfId="0" applyFont="1"/>
    <xf numFmtId="0" fontId="22" fillId="3" borderId="29" xfId="0" applyFont="1" applyFill="1" applyBorder="1" applyAlignment="1">
      <alignment horizontal="center" vertical="center"/>
    </xf>
    <xf numFmtId="0" fontId="22" fillId="3" borderId="30" xfId="0" applyFont="1" applyFill="1" applyBorder="1" applyAlignment="1">
      <alignment horizontal="center" vertical="center"/>
    </xf>
    <xf numFmtId="0" fontId="22" fillId="3" borderId="8"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9" xfId="0" applyFont="1" applyFill="1" applyBorder="1" applyAlignment="1">
      <alignment horizontal="center" vertical="center"/>
    </xf>
    <xf numFmtId="0" fontId="22" fillId="3" borderId="22" xfId="0" applyFont="1" applyFill="1" applyBorder="1" applyAlignment="1">
      <alignment horizontal="center" vertical="center"/>
    </xf>
    <xf numFmtId="0" fontId="22" fillId="3" borderId="16" xfId="0" applyFont="1" applyFill="1" applyBorder="1" applyAlignment="1">
      <alignment horizontal="center" vertical="center"/>
    </xf>
    <xf numFmtId="0" fontId="22" fillId="3" borderId="31" xfId="0" applyFont="1" applyFill="1" applyBorder="1" applyAlignment="1">
      <alignment horizontal="center" vertical="center"/>
    </xf>
    <xf numFmtId="0" fontId="22" fillId="3" borderId="10" xfId="0" applyFont="1" applyFill="1" applyBorder="1" applyAlignment="1">
      <alignment horizontal="center" vertical="center"/>
    </xf>
    <xf numFmtId="0" fontId="22" fillId="3" borderId="11" xfId="0" applyFont="1" applyFill="1" applyBorder="1" applyAlignment="1">
      <alignment horizontal="center" vertical="center"/>
    </xf>
    <xf numFmtId="0" fontId="22" fillId="3" borderId="1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17" xfId="0" applyFont="1" applyFill="1" applyBorder="1" applyAlignment="1">
      <alignment horizontal="center" vertical="center"/>
    </xf>
    <xf numFmtId="0" fontId="22" fillId="3" borderId="47" xfId="0" applyFont="1" applyFill="1" applyBorder="1" applyAlignment="1">
      <alignment vertical="center"/>
    </xf>
    <xf numFmtId="0" fontId="22" fillId="3" borderId="2" xfId="0" applyFont="1" applyFill="1" applyBorder="1" applyAlignment="1">
      <alignment horizontal="right" vertical="center" wrapText="1"/>
    </xf>
    <xf numFmtId="0" fontId="22" fillId="0" borderId="0" xfId="0" applyFont="1" applyAlignment="1">
      <alignment horizontal="center" vertical="center"/>
    </xf>
    <xf numFmtId="0" fontId="22" fillId="3" borderId="41"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0" fillId="0" borderId="0" xfId="0" applyAlignment="1">
      <alignment vertical="center"/>
    </xf>
    <xf numFmtId="0" fontId="1" fillId="0" borderId="41" xfId="0" applyFont="1" applyBorder="1" applyAlignment="1">
      <alignment horizontal="left" vertical="center"/>
    </xf>
    <xf numFmtId="0" fontId="1" fillId="0" borderId="41" xfId="0" applyFont="1" applyBorder="1" applyAlignment="1">
      <alignment horizontal="center" vertical="center"/>
    </xf>
    <xf numFmtId="164" fontId="1" fillId="0" borderId="57" xfId="0" applyNumberFormat="1" applyFont="1" applyBorder="1" applyAlignment="1">
      <alignment horizontal="center" vertical="center"/>
    </xf>
    <xf numFmtId="164" fontId="1" fillId="0" borderId="41" xfId="0" applyNumberFormat="1" applyFont="1" applyBorder="1" applyAlignment="1">
      <alignment horizontal="center" vertical="center"/>
    </xf>
    <xf numFmtId="165" fontId="1" fillId="0" borderId="75" xfId="0" applyNumberFormat="1" applyFont="1" applyBorder="1" applyAlignment="1">
      <alignment horizontal="center" vertical="center"/>
    </xf>
    <xf numFmtId="165" fontId="1" fillId="0" borderId="54" xfId="0" applyNumberFormat="1" applyFont="1" applyBorder="1" applyAlignment="1">
      <alignment horizontal="center" vertical="center"/>
    </xf>
    <xf numFmtId="165" fontId="1" fillId="0" borderId="76" xfId="0" applyNumberFormat="1" applyFont="1" applyBorder="1" applyAlignment="1">
      <alignment horizontal="center" vertical="center"/>
    </xf>
    <xf numFmtId="165" fontId="1" fillId="0" borderId="78" xfId="0" applyNumberFormat="1" applyFont="1" applyBorder="1" applyAlignment="1">
      <alignment horizontal="center" vertical="center"/>
    </xf>
    <xf numFmtId="0" fontId="1" fillId="0" borderId="54" xfId="0" applyFont="1" applyBorder="1" applyAlignment="1">
      <alignment horizontal="center" vertical="center"/>
    </xf>
    <xf numFmtId="0" fontId="1" fillId="0" borderId="70" xfId="0" applyFont="1" applyBorder="1" applyAlignment="1">
      <alignment horizontal="center" vertical="center"/>
    </xf>
    <xf numFmtId="0" fontId="1" fillId="0" borderId="77" xfId="0" applyFont="1" applyBorder="1" applyAlignment="1">
      <alignment horizontal="center" vertical="center"/>
    </xf>
    <xf numFmtId="0" fontId="1" fillId="0" borderId="74" xfId="0" applyFont="1" applyBorder="1" applyAlignment="1">
      <alignment horizontal="left" vertical="center"/>
    </xf>
    <xf numFmtId="0" fontId="1" fillId="0" borderId="74" xfId="0" applyFont="1" applyBorder="1" applyAlignment="1">
      <alignment horizontal="center" vertical="center"/>
    </xf>
    <xf numFmtId="164" fontId="1" fillId="0" borderId="79" xfId="0" applyNumberFormat="1" applyFont="1" applyBorder="1" applyAlignment="1">
      <alignment horizontal="center" vertical="center"/>
    </xf>
    <xf numFmtId="164" fontId="1" fillId="0" borderId="74"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84" xfId="0" applyNumberFormat="1" applyFont="1" applyBorder="1" applyAlignment="1">
      <alignment horizontal="center" vertical="center"/>
    </xf>
    <xf numFmtId="0" fontId="1" fillId="0" borderId="81" xfId="0" applyFont="1" applyBorder="1" applyAlignment="1">
      <alignment horizontal="center" vertical="center"/>
    </xf>
    <xf numFmtId="0" fontId="1" fillId="0" borderId="83" xfId="0" applyFont="1" applyBorder="1" applyAlignment="1">
      <alignment horizontal="center" vertical="center"/>
    </xf>
    <xf numFmtId="165" fontId="1" fillId="0" borderId="55" xfId="0" applyNumberFormat="1" applyFont="1" applyBorder="1" applyAlignment="1">
      <alignment horizontal="center" vertical="center"/>
    </xf>
    <xf numFmtId="165" fontId="1" fillId="0" borderId="85" xfId="0" applyNumberFormat="1" applyFont="1" applyBorder="1" applyAlignment="1">
      <alignment horizontal="center" vertical="center"/>
    </xf>
    <xf numFmtId="0" fontId="22" fillId="3" borderId="45" xfId="0" applyFont="1" applyFill="1" applyBorder="1" applyAlignment="1">
      <alignment vertical="center"/>
    </xf>
    <xf numFmtId="0" fontId="1" fillId="0" borderId="31" xfId="0" applyFont="1" applyBorder="1" applyAlignment="1">
      <alignment horizontal="left" vertical="center"/>
    </xf>
    <xf numFmtId="0" fontId="1" fillId="0" borderId="31" xfId="0" applyFont="1" applyBorder="1" applyAlignment="1">
      <alignment horizontal="center" vertical="center"/>
    </xf>
    <xf numFmtId="164" fontId="1" fillId="0" borderId="20" xfId="0" applyNumberFormat="1" applyFont="1" applyBorder="1" applyAlignment="1">
      <alignment horizontal="center" vertical="center"/>
    </xf>
    <xf numFmtId="164" fontId="1" fillId="0" borderId="31" xfId="0" applyNumberFormat="1" applyFont="1" applyBorder="1" applyAlignment="1">
      <alignment horizontal="center" vertical="center"/>
    </xf>
    <xf numFmtId="165" fontId="1" fillId="0" borderId="23" xfId="0" applyNumberFormat="1" applyFont="1" applyBorder="1" applyAlignment="1">
      <alignment horizontal="center" vertical="center"/>
    </xf>
    <xf numFmtId="165" fontId="1" fillId="0" borderId="11" xfId="0" applyNumberFormat="1" applyFont="1" applyBorder="1" applyAlignment="1">
      <alignment horizontal="center" vertical="center"/>
    </xf>
    <xf numFmtId="165" fontId="1" fillId="0" borderId="17" xfId="0" applyNumberFormat="1" applyFont="1" applyBorder="1" applyAlignment="1">
      <alignment horizontal="center" vertical="center"/>
    </xf>
    <xf numFmtId="165" fontId="1" fillId="0" borderId="10" xfId="0" applyNumberFormat="1" applyFont="1" applyBorder="1" applyAlignment="1">
      <alignment horizontal="center" vertical="center"/>
    </xf>
    <xf numFmtId="165" fontId="1" fillId="0" borderId="12" xfId="0" applyNumberFormat="1" applyFont="1" applyBorder="1" applyAlignment="1">
      <alignment horizontal="center" vertical="center"/>
    </xf>
    <xf numFmtId="165" fontId="1" fillId="0" borderId="31" xfId="0" applyNumberFormat="1" applyFont="1" applyBorder="1" applyAlignment="1">
      <alignment horizontal="center" vertical="center"/>
    </xf>
    <xf numFmtId="0" fontId="1" fillId="0" borderId="27" xfId="0" applyFont="1" applyBorder="1" applyAlignment="1">
      <alignment horizontal="center" vertical="center"/>
    </xf>
    <xf numFmtId="0" fontId="25" fillId="0" borderId="0" xfId="0" applyFont="1" applyAlignment="1">
      <alignment horizontal="left" vertical="center"/>
    </xf>
    <xf numFmtId="0" fontId="26" fillId="0" borderId="0" xfId="0" applyFont="1" applyAlignment="1">
      <alignment vertical="center"/>
    </xf>
    <xf numFmtId="0" fontId="27" fillId="0" borderId="0" xfId="0" applyFont="1" applyAlignment="1">
      <alignment vertical="center"/>
    </xf>
    <xf numFmtId="0" fontId="25" fillId="0" borderId="0" xfId="0" applyFont="1" applyAlignment="1">
      <alignment vertical="center"/>
    </xf>
    <xf numFmtId="0" fontId="25" fillId="0" borderId="0" xfId="0" applyFont="1" applyAlignment="1">
      <alignment vertical="center" wrapText="1"/>
    </xf>
    <xf numFmtId="0" fontId="28" fillId="0" borderId="78"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30" xfId="0" applyFont="1" applyBorder="1" applyAlignment="1">
      <alignment horizontal="center" vertical="center"/>
    </xf>
    <xf numFmtId="0" fontId="28" fillId="0" borderId="41" xfId="0" applyFont="1" applyBorder="1" applyAlignment="1">
      <alignment horizontal="center" vertical="center"/>
    </xf>
    <xf numFmtId="0" fontId="28" fillId="0" borderId="31" xfId="0" applyFont="1" applyBorder="1" applyAlignment="1">
      <alignment horizontal="center" vertical="center"/>
    </xf>
    <xf numFmtId="0" fontId="28" fillId="0" borderId="10" xfId="0" applyFont="1" applyBorder="1" applyAlignment="1">
      <alignment horizontal="center" vertical="center"/>
    </xf>
    <xf numFmtId="0" fontId="28" fillId="0" borderId="12" xfId="0" applyFont="1" applyBorder="1" applyAlignment="1">
      <alignment horizontal="center" vertical="center"/>
    </xf>
    <xf numFmtId="164" fontId="4" fillId="0" borderId="0" xfId="0" applyNumberFormat="1" applyFont="1" applyAlignment="1">
      <alignment horizontal="center" vertical="center"/>
    </xf>
    <xf numFmtId="0" fontId="1" fillId="0" borderId="0" xfId="0" applyFont="1" applyAlignment="1">
      <alignment horizontal="center" vertical="center"/>
    </xf>
    <xf numFmtId="165" fontId="1" fillId="0" borderId="88" xfId="0" applyNumberFormat="1" applyFont="1" applyBorder="1" applyAlignment="1">
      <alignment horizontal="center" vertical="center"/>
    </xf>
    <xf numFmtId="165" fontId="1" fillId="0" borderId="89" xfId="0" applyNumberFormat="1" applyFont="1" applyBorder="1" applyAlignment="1">
      <alignment horizontal="center" vertical="center"/>
    </xf>
    <xf numFmtId="0" fontId="1" fillId="0" borderId="89" xfId="0" applyFont="1" applyBorder="1" applyAlignment="1">
      <alignment horizontal="center" vertical="center"/>
    </xf>
    <xf numFmtId="165" fontId="1" fillId="0" borderId="90" xfId="0" applyNumberFormat="1" applyFont="1" applyBorder="1" applyAlignment="1">
      <alignment horizontal="center" vertical="center"/>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91" xfId="0" applyNumberFormat="1" applyFont="1" applyBorder="1" applyAlignment="1">
      <alignment horizontal="center" vertical="center"/>
    </xf>
    <xf numFmtId="164" fontId="1" fillId="0" borderId="71" xfId="0" applyNumberFormat="1" applyFont="1" applyBorder="1" applyAlignment="1">
      <alignment horizontal="center" vertical="center"/>
    </xf>
    <xf numFmtId="165" fontId="1" fillId="0" borderId="92" xfId="0" applyNumberFormat="1" applyFont="1" applyBorder="1" applyAlignment="1">
      <alignment horizontal="center" vertical="center"/>
    </xf>
    <xf numFmtId="165" fontId="1" fillId="0" borderId="93" xfId="0" applyNumberFormat="1" applyFont="1" applyBorder="1" applyAlignment="1">
      <alignment horizontal="center" vertical="center"/>
    </xf>
    <xf numFmtId="0" fontId="28" fillId="0" borderId="5" xfId="0" applyFont="1" applyBorder="1" applyAlignment="1">
      <alignment horizontal="center" vertical="center"/>
    </xf>
    <xf numFmtId="0" fontId="28" fillId="0" borderId="7" xfId="0" applyFont="1" applyBorder="1" applyAlignment="1">
      <alignment horizontal="center" vertical="center"/>
    </xf>
    <xf numFmtId="165" fontId="1" fillId="0" borderId="7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165" fontId="1" fillId="0" borderId="86" xfId="0" applyNumberFormat="1" applyFont="1" applyBorder="1" applyAlignment="1">
      <alignment horizontal="center" vertical="center"/>
    </xf>
    <xf numFmtId="165" fontId="1" fillId="0" borderId="32" xfId="0" applyNumberFormat="1" applyFont="1" applyBorder="1" applyAlignment="1">
      <alignment horizontal="center" vertical="center"/>
    </xf>
    <xf numFmtId="165" fontId="1" fillId="0" borderId="52" xfId="0" applyNumberFormat="1"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0" borderId="43" xfId="0" applyFont="1" applyBorder="1" applyAlignment="1">
      <alignment horizontal="center" vertical="center"/>
    </xf>
    <xf numFmtId="0" fontId="1" fillId="0" borderId="66"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165" fontId="1" fillId="0" borderId="67" xfId="0" applyNumberFormat="1" applyFont="1" applyBorder="1" applyAlignment="1">
      <alignment horizontal="center" vertical="center"/>
    </xf>
    <xf numFmtId="165" fontId="1" fillId="0" borderId="68" xfId="0" applyNumberFormat="1" applyFont="1" applyBorder="1" applyAlignment="1">
      <alignment horizontal="center" vertical="center"/>
    </xf>
    <xf numFmtId="165" fontId="1" fillId="0" borderId="0" xfId="0" applyNumberFormat="1" applyFont="1" applyAlignment="1">
      <alignment horizontal="center" vertical="center"/>
    </xf>
    <xf numFmtId="165" fontId="1" fillId="0" borderId="43" xfId="0" applyNumberFormat="1" applyFont="1" applyBorder="1" applyAlignment="1">
      <alignment horizontal="center" vertical="center"/>
    </xf>
    <xf numFmtId="165" fontId="1" fillId="0" borderId="66" xfId="0" applyNumberFormat="1" applyFont="1" applyBorder="1" applyAlignment="1">
      <alignment horizontal="center" vertical="center"/>
    </xf>
    <xf numFmtId="0" fontId="2" fillId="0" borderId="0" xfId="0" applyFont="1"/>
    <xf numFmtId="0" fontId="26" fillId="0" borderId="0" xfId="0" applyFont="1" applyAlignment="1">
      <alignment horizontal="center" vertical="center"/>
    </xf>
    <xf numFmtId="167" fontId="26" fillId="0" borderId="0" xfId="0" applyNumberFormat="1" applyFont="1" applyAlignment="1">
      <alignment vertical="center"/>
    </xf>
    <xf numFmtId="0" fontId="25" fillId="0" borderId="0" xfId="0" applyFont="1" applyAlignment="1">
      <alignment horizontal="left"/>
    </xf>
    <xf numFmtId="0" fontId="26" fillId="0" borderId="0" xfId="0" applyFont="1" applyAlignment="1">
      <alignment horizontal="center"/>
    </xf>
    <xf numFmtId="0" fontId="26" fillId="0" borderId="0" xfId="0" applyFont="1"/>
    <xf numFmtId="0" fontId="27" fillId="0" borderId="0" xfId="0" applyFont="1"/>
    <xf numFmtId="0" fontId="3" fillId="0" borderId="0" xfId="0" applyFont="1" applyAlignment="1" applyProtection="1">
      <alignment horizontal="right" vertical="center"/>
      <protection locked="0"/>
    </xf>
    <xf numFmtId="0" fontId="1" fillId="0" borderId="0" xfId="0" applyFont="1" applyAlignment="1" applyProtection="1">
      <alignment horizontal="center" vertical="center" wrapText="1"/>
      <protection locked="0"/>
    </xf>
    <xf numFmtId="0" fontId="1" fillId="0" borderId="0" xfId="0" applyFont="1" applyAlignment="1" applyProtection="1">
      <alignment horizontal="center" vertical="center"/>
      <protection locked="0"/>
    </xf>
    <xf numFmtId="165" fontId="29" fillId="0" borderId="40" xfId="0" applyNumberFormat="1" applyFont="1" applyBorder="1" applyAlignment="1">
      <alignment horizontal="center" vertical="center"/>
    </xf>
    <xf numFmtId="0" fontId="1" fillId="0" borderId="32" xfId="0" applyFont="1" applyBorder="1" applyAlignment="1">
      <alignment horizontal="center" vertical="center"/>
    </xf>
    <xf numFmtId="0" fontId="29" fillId="0" borderId="40" xfId="0" applyFont="1" applyBorder="1" applyAlignment="1">
      <alignment horizontal="center" vertical="center"/>
    </xf>
    <xf numFmtId="0" fontId="1" fillId="0" borderId="52" xfId="0" applyFont="1" applyBorder="1" applyAlignment="1">
      <alignment horizontal="center" vertical="center"/>
    </xf>
    <xf numFmtId="0" fontId="29" fillId="0" borderId="0" xfId="0" applyFont="1" applyAlignment="1">
      <alignment horizontal="center" vertical="center"/>
    </xf>
    <xf numFmtId="0" fontId="1" fillId="0" borderId="94" xfId="0" applyFont="1" applyBorder="1" applyAlignment="1" applyProtection="1">
      <alignment horizontal="center"/>
      <protection locked="0"/>
    </xf>
    <xf numFmtId="0" fontId="28" fillId="0" borderId="16" xfId="0" applyFont="1" applyBorder="1" applyAlignment="1">
      <alignment horizontal="center" vertical="center"/>
    </xf>
    <xf numFmtId="0" fontId="28" fillId="0" borderId="55" xfId="0" applyFont="1" applyBorder="1" applyAlignment="1">
      <alignment horizontal="center" vertical="center"/>
    </xf>
    <xf numFmtId="0" fontId="28" fillId="0" borderId="17" xfId="0" applyFont="1" applyBorder="1" applyAlignment="1">
      <alignment horizontal="center" vertical="center"/>
    </xf>
    <xf numFmtId="165" fontId="1" fillId="0" borderId="30" xfId="0" applyNumberFormat="1" applyFont="1" applyBorder="1" applyAlignment="1">
      <alignment horizontal="center" vertical="center"/>
    </xf>
    <xf numFmtId="0" fontId="3" fillId="0" borderId="45" xfId="0" applyFont="1" applyBorder="1" applyAlignment="1" applyProtection="1">
      <alignment horizontal="right" vertical="center"/>
      <protection locked="0"/>
    </xf>
    <xf numFmtId="0" fontId="3" fillId="0" borderId="46" xfId="0" applyFont="1" applyBorder="1" applyAlignment="1" applyProtection="1">
      <alignment horizontal="right" vertical="center"/>
      <protection locked="0"/>
    </xf>
    <xf numFmtId="0" fontId="3" fillId="0" borderId="47" xfId="0" applyFont="1" applyBorder="1" applyAlignment="1" applyProtection="1">
      <alignment horizontal="right" vertical="center"/>
      <protection locked="0"/>
    </xf>
    <xf numFmtId="0" fontId="3" fillId="0" borderId="48" xfId="0" applyFont="1" applyBorder="1" applyAlignment="1" applyProtection="1">
      <alignment horizontal="right" vertical="center"/>
      <protection locked="0"/>
    </xf>
    <xf numFmtId="0" fontId="2" fillId="0" borderId="0" xfId="0" applyFont="1" applyAlignment="1" applyProtection="1">
      <alignment horizontal="right"/>
      <protection locked="0"/>
    </xf>
    <xf numFmtId="0" fontId="2" fillId="0" borderId="44" xfId="0" applyFont="1" applyBorder="1" applyAlignment="1" applyProtection="1">
      <alignment horizontal="right"/>
      <protection locked="0"/>
    </xf>
    <xf numFmtId="14" fontId="2" fillId="2" borderId="44" xfId="0" applyNumberFormat="1" applyFont="1" applyFill="1" applyBorder="1" applyAlignment="1" applyProtection="1">
      <alignment horizontal="center"/>
      <protection locked="0"/>
    </xf>
    <xf numFmtId="0" fontId="2" fillId="0" borderId="44" xfId="0" applyFont="1" applyBorder="1" applyAlignment="1">
      <alignment horizontal="center"/>
    </xf>
    <xf numFmtId="0" fontId="2" fillId="0" borderId="57" xfId="0" applyFont="1" applyBorder="1" applyAlignment="1">
      <alignment horizontal="center" vertical="center" wrapText="1"/>
    </xf>
    <xf numFmtId="0" fontId="2" fillId="0" borderId="69" xfId="0" applyFont="1" applyBorder="1" applyAlignment="1">
      <alignment horizontal="center" vertical="center" wrapText="1"/>
    </xf>
    <xf numFmtId="0" fontId="2" fillId="0" borderId="77" xfId="0" applyFont="1" applyBorder="1" applyAlignment="1">
      <alignment horizontal="center" vertical="center" wrapText="1"/>
    </xf>
    <xf numFmtId="0" fontId="2" fillId="0" borderId="47" xfId="0" applyFont="1" applyBorder="1" applyAlignment="1">
      <alignment horizontal="center" vertical="center" wrapText="1"/>
    </xf>
    <xf numFmtId="0" fontId="2" fillId="0" borderId="72" xfId="0" applyFont="1" applyBorder="1" applyAlignment="1">
      <alignment horizontal="center" vertical="center" wrapText="1"/>
    </xf>
    <xf numFmtId="0" fontId="2" fillId="0" borderId="48" xfId="0" applyFont="1" applyBorder="1" applyAlignment="1">
      <alignment horizontal="center" vertical="center" wrapText="1"/>
    </xf>
    <xf numFmtId="0" fontId="1" fillId="0" borderId="0" xfId="0" applyFont="1" applyAlignment="1">
      <alignment horizontal="center"/>
    </xf>
    <xf numFmtId="0" fontId="25" fillId="0" borderId="0" xfId="0" applyFont="1" applyAlignment="1">
      <alignment horizontal="right" vertical="center"/>
    </xf>
    <xf numFmtId="0" fontId="2" fillId="3" borderId="58" xfId="0" applyFont="1" applyFill="1" applyBorder="1" applyAlignment="1">
      <alignment horizontal="right" vertical="center"/>
    </xf>
    <xf numFmtId="0" fontId="2" fillId="3" borderId="0" xfId="0" applyFont="1" applyFill="1" applyAlignment="1">
      <alignment horizontal="right" vertical="center"/>
    </xf>
    <xf numFmtId="165" fontId="1" fillId="0" borderId="58" xfId="0" applyNumberFormat="1" applyFont="1" applyBorder="1" applyAlignment="1">
      <alignment horizontal="center" vertical="center"/>
    </xf>
    <xf numFmtId="165" fontId="1" fillId="0" borderId="73" xfId="0" applyNumberFormat="1" applyFont="1" applyBorder="1" applyAlignment="1">
      <alignment horizontal="center" vertical="center"/>
    </xf>
    <xf numFmtId="0" fontId="1" fillId="0" borderId="58" xfId="0" applyFont="1" applyBorder="1" applyAlignment="1">
      <alignment horizontal="center" vertical="center"/>
    </xf>
    <xf numFmtId="0" fontId="1" fillId="0" borderId="73" xfId="0" applyFont="1" applyBorder="1" applyAlignment="1">
      <alignment horizontal="center" vertical="center"/>
    </xf>
    <xf numFmtId="0" fontId="1" fillId="0" borderId="0" xfId="0" applyFont="1" applyAlignment="1">
      <alignment horizontal="left" vertical="top" wrapText="1"/>
    </xf>
    <xf numFmtId="0" fontId="2" fillId="3" borderId="47" xfId="0" applyFont="1" applyFill="1" applyBorder="1" applyAlignment="1">
      <alignment horizontal="right" vertical="center"/>
    </xf>
    <xf numFmtId="0" fontId="2" fillId="3" borderId="72" xfId="0" applyFont="1" applyFill="1" applyBorder="1" applyAlignment="1">
      <alignment horizontal="right" vertical="center"/>
    </xf>
    <xf numFmtId="165" fontId="1" fillId="0" borderId="47" xfId="0" applyNumberFormat="1" applyFont="1" applyBorder="1" applyAlignment="1">
      <alignment horizontal="center" vertical="center"/>
    </xf>
    <xf numFmtId="0" fontId="1" fillId="0" borderId="48" xfId="0" applyFont="1" applyBorder="1" applyAlignment="1">
      <alignment horizontal="center" vertical="center"/>
    </xf>
    <xf numFmtId="0" fontId="1" fillId="0" borderId="47" xfId="0" applyFont="1" applyBorder="1" applyAlignment="1">
      <alignment horizontal="center" vertical="center"/>
    </xf>
    <xf numFmtId="0" fontId="24" fillId="0" borderId="0" xfId="0" applyFont="1" applyAlignment="1">
      <alignment horizontal="left"/>
    </xf>
    <xf numFmtId="0" fontId="22" fillId="3" borderId="5"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8" xfId="0" applyFont="1" applyFill="1" applyBorder="1" applyAlignment="1">
      <alignment horizontal="center" vertical="center"/>
    </xf>
    <xf numFmtId="0" fontId="22" fillId="3" borderId="9" xfId="0" applyFont="1" applyFill="1" applyBorder="1" applyAlignment="1">
      <alignment horizontal="center" vertical="center"/>
    </xf>
    <xf numFmtId="0" fontId="22" fillId="3" borderId="29" xfId="0" applyFont="1" applyFill="1" applyBorder="1" applyAlignment="1">
      <alignment horizontal="center" vertical="center" wrapText="1"/>
    </xf>
    <xf numFmtId="0" fontId="22" fillId="3" borderId="30" xfId="0" applyFont="1" applyFill="1" applyBorder="1" applyAlignment="1">
      <alignment horizontal="center" vertical="center"/>
    </xf>
    <xf numFmtId="0" fontId="22" fillId="3" borderId="31" xfId="0" applyFont="1" applyFill="1" applyBorder="1" applyAlignment="1">
      <alignment horizontal="center" vertical="center"/>
    </xf>
    <xf numFmtId="0" fontId="22" fillId="3" borderId="21" xfId="0" applyFont="1" applyFill="1" applyBorder="1" applyAlignment="1">
      <alignment horizontal="center" vertical="center" wrapText="1"/>
    </xf>
    <xf numFmtId="0" fontId="22" fillId="3" borderId="6" xfId="0" applyFont="1" applyFill="1" applyBorder="1" applyAlignment="1">
      <alignment horizontal="center" vertical="center"/>
    </xf>
    <xf numFmtId="0" fontId="22" fillId="3" borderId="15" xfId="0" applyFont="1" applyFill="1" applyBorder="1" applyAlignment="1">
      <alignment horizontal="center" vertical="center"/>
    </xf>
    <xf numFmtId="0" fontId="22" fillId="3" borderId="22"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16" xfId="0" applyFont="1" applyFill="1" applyBorder="1" applyAlignment="1">
      <alignment horizontal="center" vertical="center"/>
    </xf>
    <xf numFmtId="167" fontId="26" fillId="0" borderId="0" xfId="0" applyNumberFormat="1" applyFont="1" applyAlignment="1">
      <alignment horizontal="left" indent="1"/>
    </xf>
    <xf numFmtId="0" fontId="22" fillId="3" borderId="25" xfId="0" applyFont="1" applyFill="1" applyBorder="1" applyAlignment="1">
      <alignment horizontal="center" vertical="center" wrapText="1"/>
    </xf>
    <xf numFmtId="0" fontId="22" fillId="3" borderId="26" xfId="0" applyFont="1" applyFill="1" applyBorder="1" applyAlignment="1">
      <alignment horizontal="center" vertical="center"/>
    </xf>
    <xf numFmtId="0" fontId="22" fillId="3" borderId="27" xfId="0" applyFont="1" applyFill="1" applyBorder="1" applyAlignment="1">
      <alignment horizontal="center" vertical="center"/>
    </xf>
    <xf numFmtId="0" fontId="22" fillId="0" borderId="69" xfId="0" applyFont="1" applyBorder="1" applyAlignment="1">
      <alignment horizontal="center" vertical="center" wrapText="1"/>
    </xf>
    <xf numFmtId="0" fontId="22" fillId="0" borderId="0" xfId="0" applyFont="1" applyAlignment="1">
      <alignment horizontal="center" vertical="center" wrapText="1"/>
    </xf>
    <xf numFmtId="0" fontId="22" fillId="0" borderId="0" xfId="0" applyFont="1" applyAlignment="1">
      <alignment horizontal="right" vertical="center" wrapText="1"/>
    </xf>
    <xf numFmtId="0" fontId="22" fillId="0" borderId="0" xfId="0" applyFont="1" applyAlignment="1">
      <alignment horizontal="right" vertical="center"/>
    </xf>
    <xf numFmtId="0" fontId="22" fillId="3" borderId="29" xfId="0" applyFont="1" applyFill="1" applyBorder="1" applyAlignment="1">
      <alignment horizontal="center" vertical="center"/>
    </xf>
    <xf numFmtId="0" fontId="22" fillId="3" borderId="30" xfId="0" applyFont="1" applyFill="1" applyBorder="1" applyAlignment="1">
      <alignment horizontal="center" vertical="center" wrapText="1"/>
    </xf>
    <xf numFmtId="0" fontId="22" fillId="3" borderId="31" xfId="0" applyFont="1" applyFill="1" applyBorder="1" applyAlignment="1">
      <alignment horizontal="center" vertical="center" wrapText="1"/>
    </xf>
    <xf numFmtId="0" fontId="25" fillId="0" borderId="0" xfId="0" applyFont="1" applyAlignment="1">
      <alignment horizontal="right"/>
    </xf>
    <xf numFmtId="0" fontId="22" fillId="3" borderId="38" xfId="0" applyFont="1" applyFill="1" applyBorder="1" applyAlignment="1">
      <alignment horizontal="left" vertical="center" wrapText="1"/>
    </xf>
    <xf numFmtId="0" fontId="22" fillId="3" borderId="20" xfId="0" applyFont="1" applyFill="1" applyBorder="1" applyAlignment="1">
      <alignment horizontal="left" vertical="center"/>
    </xf>
    <xf numFmtId="0" fontId="22" fillId="3" borderId="59" xfId="0" applyFont="1" applyFill="1" applyBorder="1" applyAlignment="1">
      <alignment horizontal="center" vertical="center" wrapText="1"/>
    </xf>
    <xf numFmtId="0" fontId="22" fillId="3" borderId="60" xfId="0" applyFont="1" applyFill="1" applyBorder="1" applyAlignment="1">
      <alignment horizontal="center" vertical="center" wrapText="1"/>
    </xf>
    <xf numFmtId="0" fontId="22" fillId="3" borderId="61" xfId="0" applyFont="1" applyFill="1" applyBorder="1" applyAlignment="1">
      <alignment horizontal="center" vertical="center" wrapText="1"/>
    </xf>
    <xf numFmtId="0" fontId="22" fillId="0" borderId="0" xfId="0" applyFont="1" applyAlignment="1">
      <alignment horizontal="right" vertical="top" wrapText="1"/>
    </xf>
    <xf numFmtId="0" fontId="22" fillId="3" borderId="21" xfId="0" applyFont="1" applyFill="1" applyBorder="1" applyAlignment="1">
      <alignment horizontal="center" vertical="center"/>
    </xf>
    <xf numFmtId="167" fontId="26" fillId="0" borderId="0" xfId="0" applyNumberFormat="1" applyFont="1" applyAlignment="1">
      <alignment horizontal="left" vertical="center" indent="1"/>
    </xf>
    <xf numFmtId="0" fontId="13" fillId="0" borderId="0" xfId="0" applyFont="1" applyAlignment="1">
      <alignment horizontal="left"/>
    </xf>
    <xf numFmtId="0" fontId="1" fillId="0" borderId="19"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20" xfId="0" applyFont="1" applyBorder="1" applyAlignment="1" applyProtection="1">
      <alignment horizontal="center"/>
      <protection locked="0"/>
    </xf>
    <xf numFmtId="0" fontId="1" fillId="0" borderId="38" xfId="0" applyFont="1" applyBorder="1" applyAlignment="1" applyProtection="1">
      <alignment horizontal="center"/>
      <protection locked="0"/>
    </xf>
    <xf numFmtId="0" fontId="1" fillId="0" borderId="5" xfId="0" applyFont="1" applyBorder="1" applyAlignment="1" applyProtection="1">
      <alignment horizontal="center" vertical="center" wrapText="1"/>
    </xf>
    <xf numFmtId="0" fontId="1" fillId="0" borderId="54" xfId="0" applyFont="1" applyBorder="1" applyAlignment="1" applyProtection="1">
      <alignment horizontal="center" vertical="center" wrapText="1"/>
    </xf>
    <xf numFmtId="0" fontId="1" fillId="0" borderId="54" xfId="0" applyFont="1" applyBorder="1" applyAlignment="1" applyProtection="1">
      <alignment vertical="center" wrapText="1"/>
    </xf>
    <xf numFmtId="0" fontId="1" fillId="0" borderId="76" xfId="0" applyFont="1" applyBorder="1" applyAlignment="1" applyProtection="1">
      <alignment vertical="center"/>
    </xf>
    <xf numFmtId="0" fontId="1" fillId="0" borderId="57" xfId="0" applyFont="1" applyBorder="1" applyAlignment="1" applyProtection="1">
      <alignment vertical="center" wrapText="1"/>
    </xf>
    <xf numFmtId="0" fontId="1" fillId="0" borderId="41" xfId="0" applyFont="1" applyBorder="1" applyAlignment="1" applyProtection="1">
      <alignment vertical="center" wrapText="1"/>
    </xf>
    <xf numFmtId="0" fontId="1" fillId="0" borderId="5" xfId="0" applyFont="1" applyBorder="1" applyAlignment="1" applyProtection="1">
      <alignment horizontal="center"/>
    </xf>
    <xf numFmtId="0" fontId="1" fillId="0" borderId="6" xfId="0" applyFont="1" applyBorder="1" applyAlignment="1" applyProtection="1">
      <alignment horizontal="center"/>
    </xf>
    <xf numFmtId="0" fontId="1" fillId="0" borderId="7" xfId="0" applyFont="1" applyBorder="1" applyAlignment="1" applyProtection="1">
      <alignment horizontal="center"/>
    </xf>
    <xf numFmtId="0" fontId="1" fillId="0" borderId="15" xfId="0" applyFont="1" applyBorder="1" applyAlignment="1" applyProtection="1">
      <alignment horizontal="center"/>
    </xf>
    <xf numFmtId="0" fontId="1" fillId="0" borderId="7" xfId="0" applyFont="1" applyBorder="1" applyAlignment="1" applyProtection="1">
      <alignment horizontal="center" vertical="center" wrapText="1"/>
    </xf>
    <xf numFmtId="0" fontId="1" fillId="0" borderId="29" xfId="0" applyFont="1" applyBorder="1" applyAlignment="1" applyProtection="1">
      <alignment horizontal="center" wrapText="1"/>
    </xf>
    <xf numFmtId="0" fontId="1" fillId="0" borderId="41" xfId="0" applyFont="1" applyBorder="1" applyAlignment="1" applyProtection="1">
      <alignment horizontal="center" wrapText="1"/>
    </xf>
    <xf numFmtId="0" fontId="1" fillId="0" borderId="5" xfId="0" applyFont="1" applyBorder="1" applyAlignment="1" applyProtection="1">
      <alignment horizontal="center" wrapText="1"/>
    </xf>
    <xf numFmtId="0" fontId="1" fillId="0" borderId="29" xfId="0" applyFont="1" applyBorder="1" applyAlignment="1" applyProtection="1">
      <alignment horizontal="center"/>
    </xf>
    <xf numFmtId="0" fontId="1" fillId="0" borderId="25" xfId="0" applyFont="1" applyBorder="1" applyAlignment="1" applyProtection="1">
      <alignment horizontal="center" wrapText="1"/>
    </xf>
    <xf numFmtId="0" fontId="1" fillId="0" borderId="8" xfId="0" applyFont="1" applyBorder="1" applyAlignment="1" applyProtection="1">
      <alignment horizontal="center" vertical="center" wrapText="1"/>
    </xf>
    <xf numFmtId="0" fontId="1" fillId="0" borderId="53" xfId="0" applyFont="1" applyBorder="1" applyAlignment="1" applyProtection="1">
      <alignment horizontal="center" vertical="center" wrapText="1"/>
    </xf>
    <xf numFmtId="0" fontId="1" fillId="0" borderId="53" xfId="0" applyFont="1" applyBorder="1" applyAlignment="1" applyProtection="1">
      <alignment vertical="center" wrapText="1"/>
    </xf>
    <xf numFmtId="0" fontId="1" fillId="0" borderId="56" xfId="0" applyFont="1" applyBorder="1" applyAlignment="1" applyProtection="1">
      <alignment vertical="center"/>
    </xf>
    <xf numFmtId="0" fontId="1" fillId="0" borderId="42" xfId="0" applyFont="1" applyBorder="1" applyAlignment="1" applyProtection="1">
      <alignment vertical="center" wrapText="1"/>
    </xf>
    <xf numFmtId="0" fontId="1" fillId="0" borderId="8" xfId="0" applyFont="1" applyBorder="1" applyAlignment="1" applyProtection="1">
      <alignment horizontal="center"/>
    </xf>
    <xf numFmtId="0" fontId="1" fillId="0" borderId="1" xfId="0" applyFont="1" applyBorder="1" applyAlignment="1" applyProtection="1">
      <alignment horizontal="center"/>
    </xf>
    <xf numFmtId="0" fontId="1" fillId="0" borderId="9" xfId="0" applyFont="1" applyBorder="1" applyAlignment="1" applyProtection="1">
      <alignment horizontal="center"/>
    </xf>
    <xf numFmtId="0" fontId="1" fillId="0" borderId="16" xfId="0" applyFont="1" applyBorder="1" applyAlignment="1" applyProtection="1">
      <alignment horizontal="center"/>
    </xf>
    <xf numFmtId="0" fontId="1" fillId="0" borderId="9" xfId="0" applyFont="1" applyBorder="1" applyAlignment="1" applyProtection="1">
      <alignment horizontal="center" vertical="center" wrapText="1"/>
    </xf>
    <xf numFmtId="0" fontId="1" fillId="0" borderId="30" xfId="0" applyFont="1" applyBorder="1" applyAlignment="1" applyProtection="1">
      <alignment horizontal="center" wrapText="1"/>
    </xf>
    <xf numFmtId="0" fontId="1" fillId="0" borderId="42" xfId="0" applyFont="1" applyBorder="1" applyAlignment="1" applyProtection="1">
      <alignment horizontal="center" wrapText="1"/>
    </xf>
    <xf numFmtId="0" fontId="1" fillId="0" borderId="8" xfId="0" applyFont="1" applyBorder="1" applyAlignment="1" applyProtection="1">
      <alignment horizontal="center"/>
    </xf>
    <xf numFmtId="0" fontId="1" fillId="0" borderId="1" xfId="0" applyFont="1" applyBorder="1" applyAlignment="1" applyProtection="1">
      <alignment horizontal="center"/>
    </xf>
    <xf numFmtId="0" fontId="1" fillId="0" borderId="9" xfId="0" applyFont="1" applyBorder="1" applyAlignment="1" applyProtection="1">
      <alignment horizontal="center"/>
    </xf>
    <xf numFmtId="0" fontId="1" fillId="0" borderId="30" xfId="0" applyFont="1" applyBorder="1" applyAlignment="1" applyProtection="1">
      <alignment horizontal="center"/>
    </xf>
    <xf numFmtId="0" fontId="1" fillId="0" borderId="26" xfId="0" applyFont="1" applyBorder="1" applyAlignment="1" applyProtection="1">
      <alignment horizontal="center" wrapText="1"/>
    </xf>
    <xf numFmtId="0" fontId="1" fillId="0" borderId="33" xfId="0" applyFont="1" applyBorder="1" applyAlignment="1" applyProtection="1">
      <alignment horizontal="center" vertical="center" wrapText="1"/>
    </xf>
    <xf numFmtId="0" fontId="1" fillId="0" borderId="50" xfId="0" applyFont="1" applyBorder="1" applyAlignment="1" applyProtection="1">
      <alignment horizontal="center" vertical="center" wrapText="1"/>
    </xf>
    <xf numFmtId="0" fontId="1" fillId="0" borderId="51" xfId="0" applyFont="1" applyBorder="1" applyAlignment="1" applyProtection="1">
      <alignment horizontal="center" vertical="center"/>
    </xf>
    <xf numFmtId="0" fontId="1" fillId="0" borderId="43" xfId="0" applyFont="1" applyBorder="1" applyAlignment="1" applyProtection="1">
      <alignment horizontal="center" vertical="center" wrapText="1"/>
    </xf>
    <xf numFmtId="0" fontId="1" fillId="0" borderId="33" xfId="0" applyFont="1" applyBorder="1" applyAlignment="1" applyProtection="1">
      <alignment horizontal="center"/>
    </xf>
    <xf numFmtId="0" fontId="1" fillId="0" borderId="3" xfId="0" applyFont="1" applyBorder="1" applyAlignment="1" applyProtection="1">
      <alignment horizontal="center"/>
    </xf>
    <xf numFmtId="0" fontId="1" fillId="0" borderId="35" xfId="0" applyFont="1" applyBorder="1" applyAlignment="1" applyProtection="1">
      <alignment horizontal="center"/>
    </xf>
    <xf numFmtId="0" fontId="1" fillId="0" borderId="34" xfId="0" applyFont="1" applyBorder="1" applyAlignment="1" applyProtection="1">
      <alignment horizontal="center"/>
    </xf>
    <xf numFmtId="0" fontId="1" fillId="0" borderId="36" xfId="0" applyFont="1" applyBorder="1" applyAlignment="1" applyProtection="1">
      <alignment horizontal="center" wrapText="1"/>
    </xf>
    <xf numFmtId="0" fontId="1" fillId="0" borderId="36" xfId="0" applyFont="1" applyBorder="1" applyAlignment="1" applyProtection="1">
      <alignment horizontal="center"/>
    </xf>
    <xf numFmtId="0" fontId="1" fillId="0" borderId="37" xfId="0" applyFont="1" applyBorder="1" applyAlignment="1" applyProtection="1">
      <alignment horizontal="center" wrapText="1"/>
    </xf>
    <xf numFmtId="0" fontId="3" fillId="0" borderId="0" xfId="0" applyFont="1" applyAlignment="1" applyProtection="1">
      <alignment horizontal="right" vertical="center"/>
    </xf>
    <xf numFmtId="0" fontId="2" fillId="0" borderId="32" xfId="0" applyFont="1" applyBorder="1" applyAlignment="1" applyProtection="1">
      <alignment horizontal="center" vertical="center"/>
    </xf>
    <xf numFmtId="0" fontId="2" fillId="0" borderId="40" xfId="0" applyFont="1" applyBorder="1" applyAlignment="1" applyProtection="1">
      <alignment horizontal="center" vertical="center"/>
    </xf>
    <xf numFmtId="0" fontId="2" fillId="0" borderId="52" xfId="0" applyFont="1" applyBorder="1" applyAlignment="1" applyProtection="1">
      <alignment horizontal="center" vertical="center"/>
    </xf>
    <xf numFmtId="0" fontId="2" fillId="0" borderId="5" xfId="0" applyFont="1" applyBorder="1" applyAlignment="1" applyProtection="1">
      <alignment horizontal="center" vertical="center"/>
    </xf>
    <xf numFmtId="0" fontId="2" fillId="0" borderId="6" xfId="0" applyFont="1" applyBorder="1" applyAlignment="1" applyProtection="1">
      <alignment horizontal="center" vertical="center"/>
    </xf>
    <xf numFmtId="0" fontId="2" fillId="0" borderId="7" xfId="0" applyFont="1" applyBorder="1" applyAlignment="1" applyProtection="1">
      <alignment horizontal="center" vertical="center"/>
    </xf>
    <xf numFmtId="0" fontId="2" fillId="0" borderId="21" xfId="0" applyFont="1" applyBorder="1" applyAlignment="1" applyProtection="1">
      <alignment horizontal="center" vertical="center"/>
    </xf>
    <xf numFmtId="0" fontId="2" fillId="0" borderId="47" xfId="0" applyFont="1" applyBorder="1" applyAlignment="1" applyProtection="1">
      <alignment horizontal="center" vertical="center"/>
    </xf>
    <xf numFmtId="0" fontId="2" fillId="0" borderId="49" xfId="0" applyFont="1" applyBorder="1" applyAlignment="1" applyProtection="1">
      <alignment horizontal="center" vertical="center"/>
    </xf>
    <xf numFmtId="0" fontId="2" fillId="0" borderId="50" xfId="0" applyFont="1" applyBorder="1" applyAlignment="1" applyProtection="1">
      <alignment horizontal="center" vertical="center"/>
    </xf>
    <xf numFmtId="0" fontId="2" fillId="0" borderId="51" xfId="0"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1" xfId="0" applyFont="1" applyBorder="1" applyAlignment="1" applyProtection="1">
      <alignment horizontal="center" vertical="center"/>
    </xf>
    <xf numFmtId="0" fontId="2" fillId="0" borderId="12" xfId="0" applyFont="1" applyBorder="1" applyAlignment="1" applyProtection="1">
      <alignment horizontal="center" vertical="center"/>
    </xf>
    <xf numFmtId="0" fontId="2" fillId="0" borderId="23" xfId="0" applyFont="1" applyBorder="1" applyAlignment="1" applyProtection="1">
      <alignment horizontal="center" vertical="center"/>
    </xf>
    <xf numFmtId="15" fontId="10" fillId="0" borderId="47" xfId="0" applyNumberFormat="1" applyFont="1" applyBorder="1" applyAlignment="1" applyProtection="1">
      <alignment horizontal="center" vertical="center"/>
    </xf>
    <xf numFmtId="165" fontId="10" fillId="0" borderId="32" xfId="0" applyNumberFormat="1" applyFont="1" applyBorder="1" applyAlignment="1" applyProtection="1">
      <alignment horizontal="center" vertical="center"/>
    </xf>
    <xf numFmtId="165" fontId="10" fillId="0" borderId="40" xfId="0" applyNumberFormat="1" applyFont="1" applyBorder="1" applyAlignment="1" applyProtection="1">
      <alignment horizontal="center" vertical="center"/>
    </xf>
    <xf numFmtId="0" fontId="10" fillId="0" borderId="52" xfId="0" applyFont="1" applyBorder="1" applyAlignment="1" applyProtection="1">
      <alignment horizontal="center" vertical="center"/>
    </xf>
    <xf numFmtId="0" fontId="10" fillId="0" borderId="32" xfId="0" applyFont="1" applyBorder="1" applyAlignment="1" applyProtection="1">
      <alignment horizontal="center" vertical="center"/>
    </xf>
    <xf numFmtId="0" fontId="10" fillId="0" borderId="40" xfId="0" applyFont="1" applyBorder="1" applyAlignment="1" applyProtection="1">
      <alignment horizontal="center" vertical="center"/>
    </xf>
    <xf numFmtId="0" fontId="10" fillId="0" borderId="87" xfId="0" applyFont="1" applyBorder="1" applyAlignment="1" applyProtection="1">
      <alignment horizontal="center" vertical="center"/>
    </xf>
    <xf numFmtId="165" fontId="10" fillId="0" borderId="32" xfId="0" applyNumberFormat="1" applyFont="1" applyBorder="1" applyAlignment="1" applyProtection="1">
      <alignment horizontal="center" vertical="center" wrapText="1"/>
    </xf>
    <xf numFmtId="165" fontId="10" fillId="0" borderId="40" xfId="0" applyNumberFormat="1" applyFont="1" applyBorder="1" applyAlignment="1" applyProtection="1">
      <alignment horizontal="center" vertical="center" wrapText="1"/>
    </xf>
    <xf numFmtId="165" fontId="10" fillId="0" borderId="52" xfId="0" applyNumberFormat="1" applyFont="1" applyBorder="1" applyAlignment="1" applyProtection="1">
      <alignment horizontal="center" vertical="center"/>
    </xf>
    <xf numFmtId="0" fontId="1" fillId="4" borderId="21" xfId="0" applyFont="1" applyFill="1" applyBorder="1" applyProtection="1">
      <protection locked="0"/>
    </xf>
    <xf numFmtId="0" fontId="1" fillId="4" borderId="6" xfId="0" applyFont="1" applyFill="1" applyBorder="1" applyProtection="1">
      <protection locked="0"/>
    </xf>
    <xf numFmtId="0" fontId="1" fillId="4" borderId="7" xfId="0" applyFont="1" applyFill="1" applyBorder="1" applyAlignment="1" applyProtection="1">
      <alignment horizontal="center"/>
      <protection locked="0"/>
    </xf>
    <xf numFmtId="20" fontId="1" fillId="4" borderId="19" xfId="0" applyNumberFormat="1" applyFont="1" applyFill="1" applyBorder="1" applyAlignment="1" applyProtection="1">
      <alignment horizontal="center"/>
      <protection locked="0"/>
    </xf>
    <xf numFmtId="0" fontId="1" fillId="4" borderId="1" xfId="0" applyFont="1" applyFill="1" applyBorder="1" applyProtection="1">
      <protection locked="0"/>
    </xf>
    <xf numFmtId="0" fontId="1" fillId="4" borderId="9" xfId="0" applyFont="1" applyFill="1" applyBorder="1" applyAlignment="1" applyProtection="1">
      <alignment horizontal="center"/>
      <protection locked="0"/>
    </xf>
    <xf numFmtId="20" fontId="1" fillId="4" borderId="39" xfId="0" applyNumberFormat="1" applyFont="1" applyFill="1" applyBorder="1" applyAlignment="1" applyProtection="1">
      <alignment horizontal="center"/>
      <protection locked="0"/>
    </xf>
    <xf numFmtId="0" fontId="1" fillId="4" borderId="11" xfId="0" applyFont="1" applyFill="1" applyBorder="1" applyProtection="1">
      <protection locked="0"/>
    </xf>
    <xf numFmtId="0" fontId="1" fillId="4" borderId="12" xfId="0" applyFont="1" applyFill="1" applyBorder="1" applyAlignment="1" applyProtection="1">
      <alignment horizontal="center"/>
      <protection locked="0"/>
    </xf>
    <xf numFmtId="20" fontId="1" fillId="4" borderId="20" xfId="0" applyNumberFormat="1" applyFont="1" applyFill="1" applyBorder="1" applyAlignment="1" applyProtection="1">
      <alignment horizontal="center"/>
      <protection locked="0"/>
    </xf>
    <xf numFmtId="0" fontId="1" fillId="4" borderId="22" xfId="0" applyFont="1" applyFill="1" applyBorder="1" applyProtection="1">
      <protection locked="0"/>
    </xf>
    <xf numFmtId="0" fontId="1" fillId="4" borderId="23" xfId="0" applyFont="1" applyFill="1" applyBorder="1" applyProtection="1">
      <protection locked="0"/>
    </xf>
    <xf numFmtId="0" fontId="1" fillId="4" borderId="24" xfId="0" applyFont="1" applyFill="1" applyBorder="1" applyProtection="1">
      <protection locked="0"/>
    </xf>
    <xf numFmtId="0" fontId="1" fillId="4" borderId="4" xfId="0" applyFont="1" applyFill="1" applyBorder="1" applyProtection="1">
      <protection locked="0"/>
    </xf>
    <xf numFmtId="0" fontId="1" fillId="4" borderId="14" xfId="0" applyFont="1" applyFill="1" applyBorder="1" applyAlignment="1" applyProtection="1">
      <alignment horizontal="center"/>
      <protection locked="0"/>
    </xf>
    <xf numFmtId="20" fontId="1" fillId="4" borderId="38" xfId="0" applyNumberFormat="1" applyFont="1" applyFill="1" applyBorder="1" applyAlignment="1" applyProtection="1">
      <alignment horizontal="center"/>
      <protection locked="0"/>
    </xf>
    <xf numFmtId="165" fontId="30" fillId="4" borderId="47" xfId="0" applyNumberFormat="1" applyFont="1" applyFill="1" applyBorder="1" applyAlignment="1">
      <alignment horizontal="center" vertical="center" wrapText="1"/>
    </xf>
    <xf numFmtId="165" fontId="30" fillId="4" borderId="72" xfId="0" applyNumberFormat="1" applyFont="1" applyFill="1" applyBorder="1" applyAlignment="1">
      <alignment horizontal="center" vertical="center" wrapText="1"/>
    </xf>
    <xf numFmtId="165" fontId="30" fillId="4" borderId="48" xfId="0" applyNumberFormat="1" applyFont="1" applyFill="1" applyBorder="1" applyAlignment="1">
      <alignment horizontal="center" vertical="center" wrapText="1"/>
    </xf>
    <xf numFmtId="0" fontId="30" fillId="4" borderId="47" xfId="0" applyFont="1" applyFill="1" applyBorder="1" applyAlignment="1">
      <alignment horizontal="center" vertical="center" wrapText="1"/>
    </xf>
    <xf numFmtId="0" fontId="30" fillId="4" borderId="72" xfId="0" applyFont="1" applyFill="1" applyBorder="1" applyAlignment="1">
      <alignment horizontal="center" vertical="center" wrapText="1"/>
    </xf>
    <xf numFmtId="0" fontId="30" fillId="4" borderId="48" xfId="0" applyFont="1" applyFill="1" applyBorder="1" applyAlignment="1">
      <alignment horizontal="center" vertical="center" wrapText="1"/>
    </xf>
    <xf numFmtId="0" fontId="1" fillId="4" borderId="5"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0" xfId="0" applyFont="1" applyFill="1" applyBorder="1" applyAlignment="1" applyProtection="1">
      <alignment horizontal="center"/>
      <protection locked="0"/>
    </xf>
    <xf numFmtId="0" fontId="1" fillId="4" borderId="13" xfId="0" applyFont="1" applyFill="1" applyBorder="1" applyAlignment="1" applyProtection="1">
      <alignment horizontal="center"/>
      <protection locked="0"/>
    </xf>
    <xf numFmtId="0" fontId="1" fillId="4" borderId="29" xfId="0" applyFont="1" applyFill="1" applyBorder="1" applyAlignment="1" applyProtection="1">
      <alignment horizontal="center" vertical="center"/>
      <protection locked="0"/>
    </xf>
    <xf numFmtId="0" fontId="1" fillId="4" borderId="30" xfId="0" applyFont="1" applyFill="1" applyBorder="1" applyAlignment="1" applyProtection="1">
      <alignment horizontal="center" vertical="center"/>
      <protection locked="0"/>
    </xf>
    <xf numFmtId="0" fontId="1" fillId="4" borderId="31" xfId="0" applyFont="1" applyFill="1" applyBorder="1" applyAlignment="1" applyProtection="1">
      <alignment horizontal="center" vertical="center"/>
      <protection locked="0"/>
    </xf>
    <xf numFmtId="0" fontId="1" fillId="4" borderId="94" xfId="0" applyFont="1" applyFill="1" applyBorder="1" applyAlignment="1" applyProtection="1">
      <alignment horizontal="center" vertical="center"/>
      <protection locked="0"/>
    </xf>
  </cellXfs>
  <cellStyles count="2">
    <cellStyle name="Hyperlink" xfId="1" builtinId="8"/>
    <cellStyle name="Normal" xfId="0" builtinId="0"/>
  </cellStyles>
  <dxfs count="15">
    <dxf>
      <font>
        <color theme="0"/>
      </font>
    </dxf>
    <dxf>
      <font>
        <color theme="0"/>
      </font>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45720</xdr:colOff>
          <xdr:row>4</xdr:row>
          <xdr:rowOff>0</xdr:rowOff>
        </xdr:from>
        <xdr:to>
          <xdr:col>18</xdr:col>
          <xdr:colOff>236220</xdr:colOff>
          <xdr:row>5</xdr:row>
          <xdr:rowOff>7620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5</xdr:row>
          <xdr:rowOff>0</xdr:rowOff>
        </xdr:from>
        <xdr:to>
          <xdr:col>18</xdr:col>
          <xdr:colOff>236220</xdr:colOff>
          <xdr:row>6</xdr:row>
          <xdr:rowOff>7620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6</xdr:row>
          <xdr:rowOff>0</xdr:rowOff>
        </xdr:from>
        <xdr:to>
          <xdr:col>18</xdr:col>
          <xdr:colOff>236220</xdr:colOff>
          <xdr:row>7</xdr:row>
          <xdr:rowOff>7620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7</xdr:row>
          <xdr:rowOff>0</xdr:rowOff>
        </xdr:from>
        <xdr:to>
          <xdr:col>18</xdr:col>
          <xdr:colOff>236220</xdr:colOff>
          <xdr:row>8</xdr:row>
          <xdr:rowOff>7620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8</xdr:row>
          <xdr:rowOff>0</xdr:rowOff>
        </xdr:from>
        <xdr:to>
          <xdr:col>18</xdr:col>
          <xdr:colOff>236220</xdr:colOff>
          <xdr:row>9</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9</xdr:row>
          <xdr:rowOff>0</xdr:rowOff>
        </xdr:from>
        <xdr:to>
          <xdr:col>18</xdr:col>
          <xdr:colOff>236220</xdr:colOff>
          <xdr:row>10</xdr:row>
          <xdr:rowOff>7620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10</xdr:row>
          <xdr:rowOff>0</xdr:rowOff>
        </xdr:from>
        <xdr:to>
          <xdr:col>18</xdr:col>
          <xdr:colOff>236220</xdr:colOff>
          <xdr:row>11</xdr:row>
          <xdr:rowOff>7620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11</xdr:row>
          <xdr:rowOff>0</xdr:rowOff>
        </xdr:from>
        <xdr:to>
          <xdr:col>18</xdr:col>
          <xdr:colOff>236220</xdr:colOff>
          <xdr:row>12</xdr:row>
          <xdr:rowOff>7620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12</xdr:row>
          <xdr:rowOff>0</xdr:rowOff>
        </xdr:from>
        <xdr:to>
          <xdr:col>18</xdr:col>
          <xdr:colOff>236220</xdr:colOff>
          <xdr:row>13</xdr:row>
          <xdr:rowOff>7620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13</xdr:row>
          <xdr:rowOff>0</xdr:rowOff>
        </xdr:from>
        <xdr:to>
          <xdr:col>18</xdr:col>
          <xdr:colOff>236220</xdr:colOff>
          <xdr:row>14</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14</xdr:row>
          <xdr:rowOff>0</xdr:rowOff>
        </xdr:from>
        <xdr:to>
          <xdr:col>18</xdr:col>
          <xdr:colOff>236220</xdr:colOff>
          <xdr:row>15</xdr:row>
          <xdr:rowOff>7620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15</xdr:row>
          <xdr:rowOff>0</xdr:rowOff>
        </xdr:from>
        <xdr:to>
          <xdr:col>18</xdr:col>
          <xdr:colOff>236220</xdr:colOff>
          <xdr:row>16</xdr:row>
          <xdr:rowOff>7620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16</xdr:row>
          <xdr:rowOff>0</xdr:rowOff>
        </xdr:from>
        <xdr:to>
          <xdr:col>18</xdr:col>
          <xdr:colOff>236220</xdr:colOff>
          <xdr:row>17</xdr:row>
          <xdr:rowOff>7620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17</xdr:row>
          <xdr:rowOff>0</xdr:rowOff>
        </xdr:from>
        <xdr:to>
          <xdr:col>18</xdr:col>
          <xdr:colOff>236220</xdr:colOff>
          <xdr:row>18</xdr:row>
          <xdr:rowOff>7620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18</xdr:row>
          <xdr:rowOff>0</xdr:rowOff>
        </xdr:from>
        <xdr:to>
          <xdr:col>18</xdr:col>
          <xdr:colOff>236220</xdr:colOff>
          <xdr:row>19</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19</xdr:row>
          <xdr:rowOff>0</xdr:rowOff>
        </xdr:from>
        <xdr:to>
          <xdr:col>18</xdr:col>
          <xdr:colOff>236220</xdr:colOff>
          <xdr:row>20</xdr:row>
          <xdr:rowOff>7620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20</xdr:row>
          <xdr:rowOff>0</xdr:rowOff>
        </xdr:from>
        <xdr:to>
          <xdr:col>18</xdr:col>
          <xdr:colOff>236220</xdr:colOff>
          <xdr:row>21</xdr:row>
          <xdr:rowOff>7620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21</xdr:row>
          <xdr:rowOff>0</xdr:rowOff>
        </xdr:from>
        <xdr:to>
          <xdr:col>18</xdr:col>
          <xdr:colOff>236220</xdr:colOff>
          <xdr:row>22</xdr:row>
          <xdr:rowOff>7620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22</xdr:row>
          <xdr:rowOff>0</xdr:rowOff>
        </xdr:from>
        <xdr:to>
          <xdr:col>18</xdr:col>
          <xdr:colOff>236220</xdr:colOff>
          <xdr:row>23</xdr:row>
          <xdr:rowOff>7620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23</xdr:row>
          <xdr:rowOff>0</xdr:rowOff>
        </xdr:from>
        <xdr:to>
          <xdr:col>18</xdr:col>
          <xdr:colOff>236220</xdr:colOff>
          <xdr:row>24</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24</xdr:row>
          <xdr:rowOff>0</xdr:rowOff>
        </xdr:from>
        <xdr:to>
          <xdr:col>18</xdr:col>
          <xdr:colOff>236220</xdr:colOff>
          <xdr:row>25</xdr:row>
          <xdr:rowOff>7620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25</xdr:row>
          <xdr:rowOff>0</xdr:rowOff>
        </xdr:from>
        <xdr:to>
          <xdr:col>18</xdr:col>
          <xdr:colOff>236220</xdr:colOff>
          <xdr:row>26</xdr:row>
          <xdr:rowOff>7620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26</xdr:row>
          <xdr:rowOff>0</xdr:rowOff>
        </xdr:from>
        <xdr:to>
          <xdr:col>18</xdr:col>
          <xdr:colOff>236220</xdr:colOff>
          <xdr:row>27</xdr:row>
          <xdr:rowOff>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27</xdr:row>
          <xdr:rowOff>0</xdr:rowOff>
        </xdr:from>
        <xdr:to>
          <xdr:col>18</xdr:col>
          <xdr:colOff>236220</xdr:colOff>
          <xdr:row>27</xdr:row>
          <xdr:rowOff>175260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28</xdr:row>
          <xdr:rowOff>0</xdr:rowOff>
        </xdr:from>
        <xdr:to>
          <xdr:col>18</xdr:col>
          <xdr:colOff>236220</xdr:colOff>
          <xdr:row>28</xdr:row>
          <xdr:rowOff>175260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29</xdr:row>
          <xdr:rowOff>0</xdr:rowOff>
        </xdr:from>
        <xdr:to>
          <xdr:col>18</xdr:col>
          <xdr:colOff>236220</xdr:colOff>
          <xdr:row>30</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30</xdr:row>
          <xdr:rowOff>0</xdr:rowOff>
        </xdr:from>
        <xdr:to>
          <xdr:col>18</xdr:col>
          <xdr:colOff>236220</xdr:colOff>
          <xdr:row>31</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31</xdr:row>
          <xdr:rowOff>0</xdr:rowOff>
        </xdr:from>
        <xdr:to>
          <xdr:col>18</xdr:col>
          <xdr:colOff>236220</xdr:colOff>
          <xdr:row>31</xdr:row>
          <xdr:rowOff>175260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32</xdr:row>
          <xdr:rowOff>0</xdr:rowOff>
        </xdr:from>
        <xdr:to>
          <xdr:col>18</xdr:col>
          <xdr:colOff>236220</xdr:colOff>
          <xdr:row>33</xdr:row>
          <xdr:rowOff>7620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33</xdr:row>
          <xdr:rowOff>0</xdr:rowOff>
        </xdr:from>
        <xdr:to>
          <xdr:col>18</xdr:col>
          <xdr:colOff>236220</xdr:colOff>
          <xdr:row>34</xdr:row>
          <xdr:rowOff>7620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34</xdr:row>
          <xdr:rowOff>0</xdr:rowOff>
        </xdr:from>
        <xdr:to>
          <xdr:col>18</xdr:col>
          <xdr:colOff>236220</xdr:colOff>
          <xdr:row>35</xdr:row>
          <xdr:rowOff>7620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35</xdr:row>
          <xdr:rowOff>0</xdr:rowOff>
        </xdr:from>
        <xdr:to>
          <xdr:col>18</xdr:col>
          <xdr:colOff>236220</xdr:colOff>
          <xdr:row>36</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xdr:row>
          <xdr:rowOff>464820</xdr:rowOff>
        </xdr:from>
        <xdr:to>
          <xdr:col>11</xdr:col>
          <xdr:colOff>297180</xdr:colOff>
          <xdr:row>5</xdr:row>
          <xdr:rowOff>22860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xdr:row>
          <xdr:rowOff>175260</xdr:rowOff>
        </xdr:from>
        <xdr:to>
          <xdr:col>11</xdr:col>
          <xdr:colOff>297180</xdr:colOff>
          <xdr:row>6</xdr:row>
          <xdr:rowOff>7620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xdr:row>
          <xdr:rowOff>175260</xdr:rowOff>
        </xdr:from>
        <xdr:to>
          <xdr:col>11</xdr:col>
          <xdr:colOff>297180</xdr:colOff>
          <xdr:row>7</xdr:row>
          <xdr:rowOff>22860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6</xdr:row>
          <xdr:rowOff>175260</xdr:rowOff>
        </xdr:from>
        <xdr:to>
          <xdr:col>11</xdr:col>
          <xdr:colOff>297180</xdr:colOff>
          <xdr:row>8</xdr:row>
          <xdr:rowOff>7620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160020</xdr:rowOff>
        </xdr:from>
        <xdr:to>
          <xdr:col>11</xdr:col>
          <xdr:colOff>297180</xdr:colOff>
          <xdr:row>11</xdr:row>
          <xdr:rowOff>7620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160020</xdr:rowOff>
        </xdr:from>
        <xdr:to>
          <xdr:col>11</xdr:col>
          <xdr:colOff>297180</xdr:colOff>
          <xdr:row>12</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7</xdr:row>
          <xdr:rowOff>175260</xdr:rowOff>
        </xdr:from>
        <xdr:to>
          <xdr:col>11</xdr:col>
          <xdr:colOff>297180</xdr:colOff>
          <xdr:row>9</xdr:row>
          <xdr:rowOff>7620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175260</xdr:rowOff>
        </xdr:from>
        <xdr:to>
          <xdr:col>11</xdr:col>
          <xdr:colOff>297180</xdr:colOff>
          <xdr:row>10</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17</xdr:row>
          <xdr:rowOff>152400</xdr:rowOff>
        </xdr:from>
        <xdr:to>
          <xdr:col>11</xdr:col>
          <xdr:colOff>297180</xdr:colOff>
          <xdr:row>18</xdr:row>
          <xdr:rowOff>182880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16</xdr:row>
          <xdr:rowOff>160020</xdr:rowOff>
        </xdr:from>
        <xdr:to>
          <xdr:col>11</xdr:col>
          <xdr:colOff>297180</xdr:colOff>
          <xdr:row>17</xdr:row>
          <xdr:rowOff>182880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15</xdr:row>
          <xdr:rowOff>160020</xdr:rowOff>
        </xdr:from>
        <xdr:to>
          <xdr:col>11</xdr:col>
          <xdr:colOff>297180</xdr:colOff>
          <xdr:row>17</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14</xdr:row>
          <xdr:rowOff>160020</xdr:rowOff>
        </xdr:from>
        <xdr:to>
          <xdr:col>11</xdr:col>
          <xdr:colOff>297180</xdr:colOff>
          <xdr:row>16</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13</xdr:row>
          <xdr:rowOff>160020</xdr:rowOff>
        </xdr:from>
        <xdr:to>
          <xdr:col>11</xdr:col>
          <xdr:colOff>297180</xdr:colOff>
          <xdr:row>15</xdr:row>
          <xdr:rowOff>7620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12</xdr:row>
          <xdr:rowOff>160020</xdr:rowOff>
        </xdr:from>
        <xdr:to>
          <xdr:col>11</xdr:col>
          <xdr:colOff>297180</xdr:colOff>
          <xdr:row>14</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11</xdr:row>
          <xdr:rowOff>160020</xdr:rowOff>
        </xdr:from>
        <xdr:to>
          <xdr:col>11</xdr:col>
          <xdr:colOff>297180</xdr:colOff>
          <xdr:row>13</xdr:row>
          <xdr:rowOff>7620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18</xdr:row>
          <xdr:rowOff>182880</xdr:rowOff>
        </xdr:from>
        <xdr:to>
          <xdr:col>11</xdr:col>
          <xdr:colOff>297180</xdr:colOff>
          <xdr:row>20</xdr:row>
          <xdr:rowOff>7620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19</xdr:row>
          <xdr:rowOff>160020</xdr:rowOff>
        </xdr:from>
        <xdr:to>
          <xdr:col>11</xdr:col>
          <xdr:colOff>297180</xdr:colOff>
          <xdr:row>21</xdr:row>
          <xdr:rowOff>7620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20</xdr:row>
          <xdr:rowOff>160020</xdr:rowOff>
        </xdr:from>
        <xdr:to>
          <xdr:col>11</xdr:col>
          <xdr:colOff>297180</xdr:colOff>
          <xdr:row>22</xdr:row>
          <xdr:rowOff>7620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21</xdr:row>
          <xdr:rowOff>160020</xdr:rowOff>
        </xdr:from>
        <xdr:to>
          <xdr:col>11</xdr:col>
          <xdr:colOff>297180</xdr:colOff>
          <xdr:row>23</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22</xdr:row>
          <xdr:rowOff>160020</xdr:rowOff>
        </xdr:from>
        <xdr:to>
          <xdr:col>11</xdr:col>
          <xdr:colOff>297180</xdr:colOff>
          <xdr:row>24</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23</xdr:row>
          <xdr:rowOff>182880</xdr:rowOff>
        </xdr:from>
        <xdr:to>
          <xdr:col>11</xdr:col>
          <xdr:colOff>304800</xdr:colOff>
          <xdr:row>25</xdr:row>
          <xdr:rowOff>7620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24</xdr:row>
          <xdr:rowOff>175260</xdr:rowOff>
        </xdr:from>
        <xdr:to>
          <xdr:col>11</xdr:col>
          <xdr:colOff>304800</xdr:colOff>
          <xdr:row>26</xdr:row>
          <xdr:rowOff>7620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25</xdr:row>
          <xdr:rowOff>160020</xdr:rowOff>
        </xdr:from>
        <xdr:to>
          <xdr:col>11</xdr:col>
          <xdr:colOff>304800</xdr:colOff>
          <xdr:row>27</xdr:row>
          <xdr:rowOff>7620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xdr:row>
          <xdr:rowOff>464820</xdr:rowOff>
        </xdr:from>
        <xdr:to>
          <xdr:col>12</xdr:col>
          <xdr:colOff>289560</xdr:colOff>
          <xdr:row>5</xdr:row>
          <xdr:rowOff>30480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182880</xdr:rowOff>
        </xdr:from>
        <xdr:to>
          <xdr:col>12</xdr:col>
          <xdr:colOff>289560</xdr:colOff>
          <xdr:row>6</xdr:row>
          <xdr:rowOff>22860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5</xdr:row>
          <xdr:rowOff>182880</xdr:rowOff>
        </xdr:from>
        <xdr:to>
          <xdr:col>12</xdr:col>
          <xdr:colOff>289560</xdr:colOff>
          <xdr:row>7</xdr:row>
          <xdr:rowOff>30480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6</xdr:row>
          <xdr:rowOff>182880</xdr:rowOff>
        </xdr:from>
        <xdr:to>
          <xdr:col>12</xdr:col>
          <xdr:colOff>289560</xdr:colOff>
          <xdr:row>8</xdr:row>
          <xdr:rowOff>22860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7</xdr:row>
          <xdr:rowOff>182880</xdr:rowOff>
        </xdr:from>
        <xdr:to>
          <xdr:col>12</xdr:col>
          <xdr:colOff>289560</xdr:colOff>
          <xdr:row>9</xdr:row>
          <xdr:rowOff>7620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182880</xdr:rowOff>
        </xdr:from>
        <xdr:to>
          <xdr:col>12</xdr:col>
          <xdr:colOff>289560</xdr:colOff>
          <xdr:row>10</xdr:row>
          <xdr:rowOff>7620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160020</xdr:rowOff>
        </xdr:from>
        <xdr:to>
          <xdr:col>12</xdr:col>
          <xdr:colOff>289560</xdr:colOff>
          <xdr:row>11</xdr:row>
          <xdr:rowOff>7620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160020</xdr:rowOff>
        </xdr:from>
        <xdr:to>
          <xdr:col>12</xdr:col>
          <xdr:colOff>289560</xdr:colOff>
          <xdr:row>12</xdr:row>
          <xdr:rowOff>7620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175260</xdr:rowOff>
        </xdr:from>
        <xdr:to>
          <xdr:col>12</xdr:col>
          <xdr:colOff>297180</xdr:colOff>
          <xdr:row>13</xdr:row>
          <xdr:rowOff>22860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175260</xdr:rowOff>
        </xdr:from>
        <xdr:to>
          <xdr:col>12</xdr:col>
          <xdr:colOff>297180</xdr:colOff>
          <xdr:row>14</xdr:row>
          <xdr:rowOff>7620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175260</xdr:rowOff>
        </xdr:from>
        <xdr:to>
          <xdr:col>12</xdr:col>
          <xdr:colOff>297180</xdr:colOff>
          <xdr:row>15</xdr:row>
          <xdr:rowOff>7620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160020</xdr:rowOff>
        </xdr:from>
        <xdr:to>
          <xdr:col>12</xdr:col>
          <xdr:colOff>297180</xdr:colOff>
          <xdr:row>16</xdr:row>
          <xdr:rowOff>7620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160020</xdr:rowOff>
        </xdr:from>
        <xdr:to>
          <xdr:col>12</xdr:col>
          <xdr:colOff>297180</xdr:colOff>
          <xdr:row>17</xdr:row>
          <xdr:rowOff>7620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160020</xdr:rowOff>
        </xdr:from>
        <xdr:to>
          <xdr:col>12</xdr:col>
          <xdr:colOff>297180</xdr:colOff>
          <xdr:row>18</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160020</xdr:rowOff>
        </xdr:from>
        <xdr:to>
          <xdr:col>12</xdr:col>
          <xdr:colOff>297180</xdr:colOff>
          <xdr:row>19</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182880</xdr:rowOff>
        </xdr:from>
        <xdr:to>
          <xdr:col>12</xdr:col>
          <xdr:colOff>297180</xdr:colOff>
          <xdr:row>20</xdr:row>
          <xdr:rowOff>22860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175260</xdr:rowOff>
        </xdr:from>
        <xdr:to>
          <xdr:col>12</xdr:col>
          <xdr:colOff>297180</xdr:colOff>
          <xdr:row>21</xdr:row>
          <xdr:rowOff>7620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175260</xdr:rowOff>
        </xdr:from>
        <xdr:to>
          <xdr:col>12</xdr:col>
          <xdr:colOff>297180</xdr:colOff>
          <xdr:row>22</xdr:row>
          <xdr:rowOff>7620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175260</xdr:rowOff>
        </xdr:from>
        <xdr:to>
          <xdr:col>12</xdr:col>
          <xdr:colOff>297180</xdr:colOff>
          <xdr:row>23</xdr:row>
          <xdr:rowOff>7620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160020</xdr:rowOff>
        </xdr:from>
        <xdr:to>
          <xdr:col>12</xdr:col>
          <xdr:colOff>297180</xdr:colOff>
          <xdr:row>24</xdr:row>
          <xdr:rowOff>7620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23</xdr:row>
          <xdr:rowOff>190500</xdr:rowOff>
        </xdr:from>
        <xdr:to>
          <xdr:col>12</xdr:col>
          <xdr:colOff>297180</xdr:colOff>
          <xdr:row>25</xdr:row>
          <xdr:rowOff>22860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24</xdr:row>
          <xdr:rowOff>182880</xdr:rowOff>
        </xdr:from>
        <xdr:to>
          <xdr:col>12</xdr:col>
          <xdr:colOff>297180</xdr:colOff>
          <xdr:row>26</xdr:row>
          <xdr:rowOff>7620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25</xdr:row>
          <xdr:rowOff>175260</xdr:rowOff>
        </xdr:from>
        <xdr:to>
          <xdr:col>12</xdr:col>
          <xdr:colOff>297180</xdr:colOff>
          <xdr:row>27</xdr:row>
          <xdr:rowOff>7620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27</xdr:row>
          <xdr:rowOff>0</xdr:rowOff>
        </xdr:from>
        <xdr:to>
          <xdr:col>11</xdr:col>
          <xdr:colOff>274320</xdr:colOff>
          <xdr:row>28</xdr:row>
          <xdr:rowOff>22860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27</xdr:row>
          <xdr:rowOff>175260</xdr:rowOff>
        </xdr:from>
        <xdr:to>
          <xdr:col>11</xdr:col>
          <xdr:colOff>274320</xdr:colOff>
          <xdr:row>28</xdr:row>
          <xdr:rowOff>175260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28</xdr:row>
          <xdr:rowOff>175260</xdr:rowOff>
        </xdr:from>
        <xdr:to>
          <xdr:col>11</xdr:col>
          <xdr:colOff>274320</xdr:colOff>
          <xdr:row>29</xdr:row>
          <xdr:rowOff>175260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29</xdr:row>
          <xdr:rowOff>175260</xdr:rowOff>
        </xdr:from>
        <xdr:to>
          <xdr:col>11</xdr:col>
          <xdr:colOff>274320</xdr:colOff>
          <xdr:row>31</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30</xdr:row>
          <xdr:rowOff>160020</xdr:rowOff>
        </xdr:from>
        <xdr:to>
          <xdr:col>11</xdr:col>
          <xdr:colOff>274320</xdr:colOff>
          <xdr:row>31</xdr:row>
          <xdr:rowOff>175260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0</xdr:rowOff>
        </xdr:from>
        <xdr:to>
          <xdr:col>12</xdr:col>
          <xdr:colOff>289560</xdr:colOff>
          <xdr:row>28</xdr:row>
          <xdr:rowOff>7620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160020</xdr:rowOff>
        </xdr:from>
        <xdr:to>
          <xdr:col>12</xdr:col>
          <xdr:colOff>289560</xdr:colOff>
          <xdr:row>28</xdr:row>
          <xdr:rowOff>175260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28</xdr:row>
          <xdr:rowOff>160020</xdr:rowOff>
        </xdr:from>
        <xdr:to>
          <xdr:col>12</xdr:col>
          <xdr:colOff>289560</xdr:colOff>
          <xdr:row>29</xdr:row>
          <xdr:rowOff>175260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29</xdr:row>
          <xdr:rowOff>160020</xdr:rowOff>
        </xdr:from>
        <xdr:to>
          <xdr:col>12</xdr:col>
          <xdr:colOff>289560</xdr:colOff>
          <xdr:row>31</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30</xdr:row>
          <xdr:rowOff>160020</xdr:rowOff>
        </xdr:from>
        <xdr:to>
          <xdr:col>12</xdr:col>
          <xdr:colOff>289560</xdr:colOff>
          <xdr:row>31</xdr:row>
          <xdr:rowOff>175260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31</xdr:row>
          <xdr:rowOff>182880</xdr:rowOff>
        </xdr:from>
        <xdr:to>
          <xdr:col>11</xdr:col>
          <xdr:colOff>297180</xdr:colOff>
          <xdr:row>33</xdr:row>
          <xdr:rowOff>22860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32</xdr:row>
          <xdr:rowOff>175260</xdr:rowOff>
        </xdr:from>
        <xdr:to>
          <xdr:col>11</xdr:col>
          <xdr:colOff>297180</xdr:colOff>
          <xdr:row>34</xdr:row>
          <xdr:rowOff>7620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33</xdr:row>
          <xdr:rowOff>175260</xdr:rowOff>
        </xdr:from>
        <xdr:to>
          <xdr:col>11</xdr:col>
          <xdr:colOff>297180</xdr:colOff>
          <xdr:row>35</xdr:row>
          <xdr:rowOff>7620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34</xdr:row>
          <xdr:rowOff>175260</xdr:rowOff>
        </xdr:from>
        <xdr:to>
          <xdr:col>11</xdr:col>
          <xdr:colOff>297180</xdr:colOff>
          <xdr:row>36</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31</xdr:row>
          <xdr:rowOff>182880</xdr:rowOff>
        </xdr:from>
        <xdr:to>
          <xdr:col>12</xdr:col>
          <xdr:colOff>297180</xdr:colOff>
          <xdr:row>33</xdr:row>
          <xdr:rowOff>22860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32</xdr:row>
          <xdr:rowOff>175260</xdr:rowOff>
        </xdr:from>
        <xdr:to>
          <xdr:col>12</xdr:col>
          <xdr:colOff>297180</xdr:colOff>
          <xdr:row>34</xdr:row>
          <xdr:rowOff>7620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33</xdr:row>
          <xdr:rowOff>175260</xdr:rowOff>
        </xdr:from>
        <xdr:to>
          <xdr:col>12</xdr:col>
          <xdr:colOff>297180</xdr:colOff>
          <xdr:row>35</xdr:row>
          <xdr:rowOff>7620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34</xdr:row>
          <xdr:rowOff>175260</xdr:rowOff>
        </xdr:from>
        <xdr:to>
          <xdr:col>12</xdr:col>
          <xdr:colOff>297180</xdr:colOff>
          <xdr:row>36</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234C3E3-7214-49ED-AB57-2F69E62F5D00}" name="Aircraft" displayName="Aircraft" ref="A1:B6" totalsRowShown="0">
  <autoFilter ref="A1:B6" xr:uid="{F234C3E3-7214-49ED-AB57-2F69E62F5D00}"/>
  <tableColumns count="2">
    <tableColumn id="1" xr3:uid="{DB1FABA4-2895-4BC5-BEA6-45FB63E74F78}" name="Number" dataDxfId="14"/>
    <tableColumn id="2" xr3:uid="{3360EE69-8E91-466A-859D-B2E9EC75CE92}" name="Tail Letter"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09142A8-2D14-4C10-AE65-2DEE0AF1A61A}" name="Formatted" displayName="Formatted" ref="A1:L33" totalsRowShown="0" headerRowDxfId="12">
  <autoFilter ref="A1:L33" xr:uid="{F09142A8-2D14-4C10-AE65-2DEE0AF1A61A}"/>
  <tableColumns count="12">
    <tableColumn id="1" xr3:uid="{0D1E3720-76C6-4824-876F-81B7C1A732B8}" name="AircraftCommander" dataDxfId="11">
      <calculatedColumnFormula>'2965D'!B17</calculatedColumnFormula>
    </tableColumn>
    <tableColumn id="2" xr3:uid="{B435845D-04DF-4496-AEDB-A0892FF9CAA1}" name="2ndPilot" dataDxfId="10"/>
    <tableColumn id="3" xr3:uid="{385ADB09-461F-4939-B9F6-E95D935F50C9}" name="Duty" dataDxfId="9"/>
    <tableColumn id="4" xr3:uid="{B5DCA725-EE10-47FD-9EC3-782215F305F5}" name="TakeOffTime" dataDxfId="8"/>
    <tableColumn id="5" xr3:uid="{47D0EB29-B146-4E66-ABEB-6C3C354EDC40}" name="LandingTime" dataDxfId="7"/>
    <tableColumn id="6" xr3:uid="{153EC314-EB34-498B-93C8-A6AE270FEA08}" name="FlightTime" dataDxfId="6">
      <calculatedColumnFormula>ROUND((Formatted[[#This Row],[LandingTime]]-Formatted[[#This Row],[TakeOffTime]]) * 1440, 0)</calculatedColumnFormula>
    </tableColumn>
    <tableColumn id="7" xr3:uid="{27FE7015-B8E0-4D60-8900-74723F655578}" name="SPC" dataDxfId="5">
      <calculatedColumnFormula>'2965D'!O5</calculatedColumnFormula>
    </tableColumn>
    <tableColumn id="8" xr3:uid="{92D68975-6E2C-434C-8D7C-5E0B27815C5E}" name="PLF" dataDxfId="4"/>
    <tableColumn id="9" xr3:uid="{1E69DD07-929F-4285-980B-B29B868E4A58}" name="Aircraft" dataDxfId="3">
      <calculatedColumnFormula>'2965D'!$F$1</calculatedColumnFormula>
    </tableColumn>
    <tableColumn id="10" xr3:uid="{40795E73-6F32-4B4E-A29E-955172439D39}" name="Date" dataDxfId="2">
      <calculatedColumnFormula>'2965D'!$O$1</calculatedColumnFormula>
    </tableColumn>
    <tableColumn id="11" xr3:uid="{38C93247-AC01-43C8-948A-A236C928F2E5}" name="P1"/>
    <tableColumn id="12" xr3:uid="{B62F82B9-CBE0-4EE7-8516-CE1B5D86BBB0}" name="P2"/>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afac.sharepoint.com/:f:/s/interim/2%20FTS/661VGS/Elz_R-9-acZEofGuQS8halsBaSbD3xRsnJcjK7ZWmVrM0Q?e=ICynZv"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46DC7-851D-4212-A614-0052753F8C6C}">
  <sheetPr codeName="Sheet1">
    <pageSetUpPr fitToPage="1"/>
  </sheetPr>
  <dimension ref="A1:U46"/>
  <sheetViews>
    <sheetView showGridLines="0" tabSelected="1" zoomScale="115" zoomScaleNormal="115" zoomScaleSheetLayoutView="115" workbookViewId="0">
      <pane ySplit="4" topLeftCell="A5" activePane="bottomLeft" state="frozen"/>
      <selection pane="bottomLeft" activeCell="B5" sqref="B5"/>
    </sheetView>
  </sheetViews>
  <sheetFormatPr defaultColWidth="8.6640625" defaultRowHeight="13.8" x14ac:dyDescent="0.25"/>
  <cols>
    <col min="1" max="1" width="4.109375" style="1" customWidth="1"/>
    <col min="2" max="2" width="18.44140625" style="1" customWidth="1"/>
    <col min="3" max="3" width="19.109375" style="1" customWidth="1"/>
    <col min="4" max="6" width="9.44140625" style="1" customWidth="1"/>
    <col min="7" max="14" width="5.6640625" style="1" customWidth="1"/>
    <col min="15" max="15" width="5.5546875" style="1" customWidth="1"/>
    <col min="16" max="18" width="5.6640625" style="1" customWidth="1"/>
    <col min="19" max="19" width="5.109375" style="1" customWidth="1"/>
    <col min="20" max="20" width="7.44140625" style="1" customWidth="1"/>
    <col min="21" max="16384" width="8.6640625" style="1"/>
  </cols>
  <sheetData>
    <row r="1" spans="1:20" ht="14.4" customHeight="1" thickBot="1" x14ac:dyDescent="0.3">
      <c r="C1" s="2" t="s">
        <v>2</v>
      </c>
      <c r="D1" s="198" t="s">
        <v>3</v>
      </c>
      <c r="E1" s="198"/>
      <c r="F1" s="44"/>
      <c r="G1" s="3"/>
      <c r="H1" s="199" t="s">
        <v>4</v>
      </c>
      <c r="I1" s="199"/>
      <c r="J1" s="199"/>
      <c r="K1" s="199"/>
      <c r="L1" s="57" t="str">
        <f>IF($F1="", "", _xlfn.XLOOKUP(F1, Aircraft[Number], Aircraft[Tail Letter]))</f>
        <v/>
      </c>
      <c r="N1" s="3" t="s">
        <v>5</v>
      </c>
      <c r="O1" s="200"/>
      <c r="P1" s="200"/>
      <c r="Q1" s="200"/>
    </row>
    <row r="2" spans="1:20" ht="13.95" customHeight="1" x14ac:dyDescent="0.25">
      <c r="A2" s="262" t="s">
        <v>6</v>
      </c>
      <c r="B2" s="263"/>
      <c r="C2" s="264"/>
      <c r="D2" s="265"/>
      <c r="E2" s="266"/>
      <c r="F2" s="267"/>
      <c r="G2" s="268" t="s">
        <v>7</v>
      </c>
      <c r="H2" s="269"/>
      <c r="I2" s="270"/>
      <c r="J2" s="268" t="s">
        <v>8</v>
      </c>
      <c r="K2" s="271"/>
      <c r="L2" s="262" t="s">
        <v>9</v>
      </c>
      <c r="M2" s="272"/>
      <c r="N2" s="273" t="s">
        <v>10</v>
      </c>
      <c r="O2" s="274" t="s">
        <v>11</v>
      </c>
      <c r="P2" s="275" t="s">
        <v>12</v>
      </c>
      <c r="Q2" s="269"/>
      <c r="R2" s="270"/>
      <c r="S2" s="276" t="s">
        <v>13</v>
      </c>
      <c r="T2" s="277" t="s">
        <v>14</v>
      </c>
    </row>
    <row r="3" spans="1:20" x14ac:dyDescent="0.25">
      <c r="A3" s="278"/>
      <c r="B3" s="279"/>
      <c r="C3" s="280"/>
      <c r="D3" s="281"/>
      <c r="E3" s="282"/>
      <c r="F3" s="282"/>
      <c r="G3" s="283" t="s">
        <v>15</v>
      </c>
      <c r="H3" s="284" t="s">
        <v>115</v>
      </c>
      <c r="I3" s="285" t="s">
        <v>116</v>
      </c>
      <c r="J3" s="283" t="s">
        <v>18</v>
      </c>
      <c r="K3" s="286" t="s">
        <v>19</v>
      </c>
      <c r="L3" s="278"/>
      <c r="M3" s="287"/>
      <c r="N3" s="288"/>
      <c r="O3" s="289"/>
      <c r="P3" s="290"/>
      <c r="Q3" s="291"/>
      <c r="R3" s="292"/>
      <c r="S3" s="293"/>
      <c r="T3" s="294"/>
    </row>
    <row r="4" spans="1:20" ht="37.5" customHeight="1" thickBot="1" x14ac:dyDescent="0.3">
      <c r="A4" s="295"/>
      <c r="B4" s="296" t="s">
        <v>20</v>
      </c>
      <c r="C4" s="296" t="s">
        <v>21</v>
      </c>
      <c r="D4" s="297" t="s">
        <v>22</v>
      </c>
      <c r="E4" s="298" t="s">
        <v>23</v>
      </c>
      <c r="F4" s="298" t="s">
        <v>24</v>
      </c>
      <c r="G4" s="299" t="s">
        <v>25</v>
      </c>
      <c r="H4" s="300" t="s">
        <v>26</v>
      </c>
      <c r="I4" s="301" t="s">
        <v>27</v>
      </c>
      <c r="J4" s="299" t="s">
        <v>28</v>
      </c>
      <c r="K4" s="302" t="s">
        <v>29</v>
      </c>
      <c r="L4" s="299" t="s">
        <v>30</v>
      </c>
      <c r="M4" s="301" t="s">
        <v>31</v>
      </c>
      <c r="N4" s="303"/>
      <c r="O4" s="289"/>
      <c r="P4" s="299">
        <v>1</v>
      </c>
      <c r="Q4" s="300">
        <v>6</v>
      </c>
      <c r="R4" s="301">
        <v>7</v>
      </c>
      <c r="S4" s="304"/>
      <c r="T4" s="305"/>
    </row>
    <row r="5" spans="1:20" ht="14.4" x14ac:dyDescent="0.3">
      <c r="A5" s="4">
        <v>1</v>
      </c>
      <c r="B5" s="332"/>
      <c r="C5" s="333"/>
      <c r="D5" s="334"/>
      <c r="E5" s="335"/>
      <c r="F5" s="335"/>
      <c r="G5" s="13" t="str">
        <f>IF($D5="","",IF($D5=G$3,$F5-$E5,""))</f>
        <v/>
      </c>
      <c r="H5" s="14" t="str">
        <f>IF($D5="","",IF($D5=H$3,$F5-$E5,""))</f>
        <v/>
      </c>
      <c r="I5" s="15" t="str">
        <f t="shared" ref="H5:I20" si="0">IF($D5="","",IF($D5=I$3,$F5-$E5,""))</f>
        <v/>
      </c>
      <c r="J5" s="13" t="str">
        <f>IF($D5="","",IF($D5=CONCATENATE(J$2," ",J$3),$F5-$E5,""))</f>
        <v/>
      </c>
      <c r="K5" s="16" t="str">
        <f>IF($D5="","",IF($D5=CONCATENATE(J$2," ",K$3),$F5-$E5,""))</f>
        <v/>
      </c>
      <c r="L5" s="354"/>
      <c r="M5" s="334"/>
      <c r="N5" s="38" t="str">
        <f t="shared" ref="N5:N27" si="1">IF($D5="","",IF($D5="PAX",$F5-$E5,""))</f>
        <v/>
      </c>
      <c r="O5" s="257" t="str">
        <f>IF(ISBLANK(F5), "", IF(F5-E5 &gt; TIME(0,9,30), 6, 1))</f>
        <v/>
      </c>
      <c r="P5" s="13" t="str">
        <f>IF($O5=P$4,F5-E5,"")</f>
        <v/>
      </c>
      <c r="Q5" s="14" t="str">
        <f>IF($O5=6,F5-E5,"")</f>
        <v/>
      </c>
      <c r="R5" s="15" t="str">
        <f>IF($O5=R$4,F5-E5,"")</f>
        <v/>
      </c>
      <c r="S5" s="358"/>
      <c r="T5" s="8"/>
    </row>
    <row r="6" spans="1:20" ht="14.4" x14ac:dyDescent="0.3">
      <c r="A6" s="6">
        <v>2</v>
      </c>
      <c r="B6" s="336"/>
      <c r="C6" s="336"/>
      <c r="D6" s="337"/>
      <c r="E6" s="338"/>
      <c r="F6" s="338"/>
      <c r="G6" s="17" t="str">
        <f>IF($D6="","",IF($D6=G$3,$F6-$E6,""))</f>
        <v/>
      </c>
      <c r="H6" s="18" t="str">
        <f>IF($D6="","",IF($D6=H$3,$F6-$E6,""))</f>
        <v/>
      </c>
      <c r="I6" s="19" t="str">
        <f t="shared" si="0"/>
        <v/>
      </c>
      <c r="J6" s="17" t="str">
        <f t="shared" ref="J6:J27" si="2">IF($D6="","",IF($D6=CONCATENATE(J$2," ",J$3),$F6-$E6,""))</f>
        <v/>
      </c>
      <c r="K6" s="31" t="str">
        <f t="shared" ref="K6:K27" si="3">IF($D6="","",IF($D6=CONCATENATE(J$2," ",K$3),$F6-$E6,""))</f>
        <v/>
      </c>
      <c r="L6" s="355"/>
      <c r="M6" s="337"/>
      <c r="N6" s="39" t="str">
        <f t="shared" si="1"/>
        <v/>
      </c>
      <c r="O6" s="258" t="str">
        <f t="shared" ref="O6:O27" si="4">IF(ISBLANK(F6), "", IF(F6-E6 &gt; TIME(0,9,30), 6, 1))</f>
        <v/>
      </c>
      <c r="P6" s="17" t="str">
        <f>IF($O6=P$4,F6-E6,"")</f>
        <v/>
      </c>
      <c r="Q6" s="18" t="str">
        <f>IF($O6=6,F6-E6,"")</f>
        <v/>
      </c>
      <c r="R6" s="19" t="str">
        <f t="shared" ref="R6:R27" si="5">IF($O6=R$4,F6-E6,"")</f>
        <v/>
      </c>
      <c r="S6" s="359"/>
      <c r="T6" s="9"/>
    </row>
    <row r="7" spans="1:20" ht="14.4" x14ac:dyDescent="0.3">
      <c r="A7" s="6">
        <v>3</v>
      </c>
      <c r="B7" s="336"/>
      <c r="C7" s="336"/>
      <c r="D7" s="337"/>
      <c r="E7" s="338"/>
      <c r="F7" s="338"/>
      <c r="G7" s="17" t="str">
        <f t="shared" ref="G7:G27" si="6">IF($D7="","",IF($D7=G$3,$F7-$E7,""))</f>
        <v/>
      </c>
      <c r="H7" s="18" t="str">
        <f t="shared" si="0"/>
        <v/>
      </c>
      <c r="I7" s="19" t="str">
        <f t="shared" si="0"/>
        <v/>
      </c>
      <c r="J7" s="17" t="str">
        <f t="shared" si="2"/>
        <v/>
      </c>
      <c r="K7" s="20" t="str">
        <f t="shared" si="3"/>
        <v/>
      </c>
      <c r="L7" s="355"/>
      <c r="M7" s="337"/>
      <c r="N7" s="39" t="str">
        <f t="shared" si="1"/>
        <v/>
      </c>
      <c r="O7" s="258" t="str">
        <f t="shared" si="4"/>
        <v/>
      </c>
      <c r="P7" s="17" t="str">
        <f t="shared" ref="P7:P27" si="7">IF($O7=P$4,F7-E7,"")</f>
        <v/>
      </c>
      <c r="Q7" s="18" t="str">
        <f t="shared" ref="Q7:Q27" si="8">IF($O7=6,F7-E7,"")</f>
        <v/>
      </c>
      <c r="R7" s="19" t="str">
        <f t="shared" si="5"/>
        <v/>
      </c>
      <c r="S7" s="359"/>
      <c r="T7" s="9"/>
    </row>
    <row r="8" spans="1:20" ht="14.4" x14ac:dyDescent="0.3">
      <c r="A8" s="6">
        <v>4</v>
      </c>
      <c r="B8" s="336"/>
      <c r="C8" s="336"/>
      <c r="D8" s="337"/>
      <c r="E8" s="338"/>
      <c r="F8" s="338"/>
      <c r="G8" s="17" t="str">
        <f t="shared" si="6"/>
        <v/>
      </c>
      <c r="H8" s="18" t="str">
        <f t="shared" si="0"/>
        <v/>
      </c>
      <c r="I8" s="19" t="str">
        <f t="shared" si="0"/>
        <v/>
      </c>
      <c r="J8" s="17" t="str">
        <f t="shared" si="2"/>
        <v/>
      </c>
      <c r="K8" s="20" t="str">
        <f t="shared" si="3"/>
        <v/>
      </c>
      <c r="L8" s="355"/>
      <c r="M8" s="337"/>
      <c r="N8" s="39" t="str">
        <f t="shared" si="1"/>
        <v/>
      </c>
      <c r="O8" s="258" t="str">
        <f t="shared" si="4"/>
        <v/>
      </c>
      <c r="P8" s="17" t="str">
        <f t="shared" si="7"/>
        <v/>
      </c>
      <c r="Q8" s="18" t="str">
        <f t="shared" si="8"/>
        <v/>
      </c>
      <c r="R8" s="19" t="str">
        <f t="shared" si="5"/>
        <v/>
      </c>
      <c r="S8" s="359"/>
      <c r="T8" s="9"/>
    </row>
    <row r="9" spans="1:20" ht="15" thickBot="1" x14ac:dyDescent="0.35">
      <c r="A9" s="10">
        <v>5</v>
      </c>
      <c r="B9" s="339"/>
      <c r="C9" s="339"/>
      <c r="D9" s="340"/>
      <c r="E9" s="341"/>
      <c r="F9" s="341"/>
      <c r="G9" s="24" t="str">
        <f t="shared" si="6"/>
        <v/>
      </c>
      <c r="H9" s="25" t="str">
        <f t="shared" si="0"/>
        <v/>
      </c>
      <c r="I9" s="26" t="str">
        <f t="shared" si="0"/>
        <v/>
      </c>
      <c r="J9" s="24" t="str">
        <f t="shared" si="2"/>
        <v/>
      </c>
      <c r="K9" s="27" t="str">
        <f t="shared" si="3"/>
        <v/>
      </c>
      <c r="L9" s="356"/>
      <c r="M9" s="340"/>
      <c r="N9" s="40" t="str">
        <f t="shared" si="1"/>
        <v/>
      </c>
      <c r="O9" s="43" t="str">
        <f t="shared" si="4"/>
        <v/>
      </c>
      <c r="P9" s="24" t="str">
        <f t="shared" si="7"/>
        <v/>
      </c>
      <c r="Q9" s="25" t="str">
        <f t="shared" si="8"/>
        <v/>
      </c>
      <c r="R9" s="26" t="str">
        <f t="shared" si="5"/>
        <v/>
      </c>
      <c r="S9" s="360"/>
      <c r="T9" s="11"/>
    </row>
    <row r="10" spans="1:20" ht="14.4" x14ac:dyDescent="0.3">
      <c r="A10" s="4">
        <v>6</v>
      </c>
      <c r="B10" s="333"/>
      <c r="C10" s="333"/>
      <c r="D10" s="334"/>
      <c r="E10" s="335"/>
      <c r="F10" s="335"/>
      <c r="G10" s="13" t="str">
        <f t="shared" si="6"/>
        <v/>
      </c>
      <c r="H10" s="14" t="str">
        <f t="shared" si="0"/>
        <v/>
      </c>
      <c r="I10" s="15" t="str">
        <f t="shared" si="0"/>
        <v/>
      </c>
      <c r="J10" s="13" t="str">
        <f t="shared" si="2"/>
        <v/>
      </c>
      <c r="K10" s="16" t="str">
        <f t="shared" si="3"/>
        <v/>
      </c>
      <c r="L10" s="354"/>
      <c r="M10" s="334"/>
      <c r="N10" s="38" t="str">
        <f t="shared" si="1"/>
        <v/>
      </c>
      <c r="O10" s="259" t="str">
        <f t="shared" si="4"/>
        <v/>
      </c>
      <c r="P10" s="13" t="str">
        <f t="shared" si="7"/>
        <v/>
      </c>
      <c r="Q10" s="14" t="str">
        <f t="shared" si="8"/>
        <v/>
      </c>
      <c r="R10" s="15" t="str">
        <f t="shared" si="5"/>
        <v/>
      </c>
      <c r="S10" s="358"/>
      <c r="T10" s="8"/>
    </row>
    <row r="11" spans="1:20" ht="14.4" x14ac:dyDescent="0.3">
      <c r="A11" s="6">
        <v>7</v>
      </c>
      <c r="B11" s="336"/>
      <c r="C11" s="336"/>
      <c r="D11" s="337"/>
      <c r="E11" s="338"/>
      <c r="F11" s="338"/>
      <c r="G11" s="17" t="str">
        <f t="shared" si="6"/>
        <v/>
      </c>
      <c r="H11" s="18" t="str">
        <f t="shared" si="0"/>
        <v/>
      </c>
      <c r="I11" s="19" t="str">
        <f t="shared" si="0"/>
        <v/>
      </c>
      <c r="J11" s="17" t="str">
        <f t="shared" si="2"/>
        <v/>
      </c>
      <c r="K11" s="20" t="str">
        <f t="shared" si="3"/>
        <v/>
      </c>
      <c r="L11" s="355"/>
      <c r="M11" s="337"/>
      <c r="N11" s="39" t="str">
        <f t="shared" si="1"/>
        <v/>
      </c>
      <c r="O11" s="258" t="str">
        <f t="shared" si="4"/>
        <v/>
      </c>
      <c r="P11" s="17" t="str">
        <f t="shared" si="7"/>
        <v/>
      </c>
      <c r="Q11" s="18" t="str">
        <f t="shared" si="8"/>
        <v/>
      </c>
      <c r="R11" s="19" t="str">
        <f t="shared" si="5"/>
        <v/>
      </c>
      <c r="S11" s="359"/>
      <c r="T11" s="9"/>
    </row>
    <row r="12" spans="1:20" ht="14.4" x14ac:dyDescent="0.3">
      <c r="A12" s="6">
        <v>8</v>
      </c>
      <c r="B12" s="336"/>
      <c r="C12" s="336"/>
      <c r="D12" s="337"/>
      <c r="E12" s="338"/>
      <c r="F12" s="338"/>
      <c r="G12" s="17" t="str">
        <f t="shared" si="6"/>
        <v/>
      </c>
      <c r="H12" s="18" t="str">
        <f t="shared" si="0"/>
        <v/>
      </c>
      <c r="I12" s="19" t="str">
        <f t="shared" si="0"/>
        <v/>
      </c>
      <c r="J12" s="17" t="str">
        <f t="shared" si="2"/>
        <v/>
      </c>
      <c r="K12" s="20" t="str">
        <f t="shared" si="3"/>
        <v/>
      </c>
      <c r="L12" s="355"/>
      <c r="M12" s="337"/>
      <c r="N12" s="39" t="str">
        <f t="shared" si="1"/>
        <v/>
      </c>
      <c r="O12" s="258" t="str">
        <f t="shared" si="4"/>
        <v/>
      </c>
      <c r="P12" s="17" t="str">
        <f t="shared" si="7"/>
        <v/>
      </c>
      <c r="Q12" s="18" t="str">
        <f t="shared" si="8"/>
        <v/>
      </c>
      <c r="R12" s="19" t="str">
        <f t="shared" si="5"/>
        <v/>
      </c>
      <c r="S12" s="359"/>
      <c r="T12" s="9"/>
    </row>
    <row r="13" spans="1:20" ht="14.4" x14ac:dyDescent="0.3">
      <c r="A13" s="6">
        <v>9</v>
      </c>
      <c r="B13" s="336"/>
      <c r="C13" s="336"/>
      <c r="D13" s="337"/>
      <c r="E13" s="338"/>
      <c r="F13" s="338"/>
      <c r="G13" s="17" t="str">
        <f t="shared" si="6"/>
        <v/>
      </c>
      <c r="H13" s="18" t="str">
        <f t="shared" si="0"/>
        <v/>
      </c>
      <c r="I13" s="19" t="str">
        <f t="shared" si="0"/>
        <v/>
      </c>
      <c r="J13" s="17" t="str">
        <f t="shared" si="2"/>
        <v/>
      </c>
      <c r="K13" s="20" t="str">
        <f t="shared" si="3"/>
        <v/>
      </c>
      <c r="L13" s="355"/>
      <c r="M13" s="337"/>
      <c r="N13" s="39" t="str">
        <f t="shared" si="1"/>
        <v/>
      </c>
      <c r="O13" s="258" t="str">
        <f t="shared" si="4"/>
        <v/>
      </c>
      <c r="P13" s="17" t="str">
        <f t="shared" si="7"/>
        <v/>
      </c>
      <c r="Q13" s="18" t="str">
        <f t="shared" si="8"/>
        <v/>
      </c>
      <c r="R13" s="19" t="str">
        <f t="shared" si="5"/>
        <v/>
      </c>
      <c r="S13" s="359"/>
      <c r="T13" s="9"/>
    </row>
    <row r="14" spans="1:20" ht="15" thickBot="1" x14ac:dyDescent="0.35">
      <c r="A14" s="10">
        <v>10</v>
      </c>
      <c r="B14" s="339"/>
      <c r="C14" s="339"/>
      <c r="D14" s="340"/>
      <c r="E14" s="341"/>
      <c r="F14" s="341"/>
      <c r="G14" s="24" t="str">
        <f t="shared" si="6"/>
        <v/>
      </c>
      <c r="H14" s="25" t="str">
        <f t="shared" si="0"/>
        <v/>
      </c>
      <c r="I14" s="26" t="str">
        <f t="shared" si="0"/>
        <v/>
      </c>
      <c r="J14" s="24" t="str">
        <f t="shared" si="2"/>
        <v/>
      </c>
      <c r="K14" s="27" t="str">
        <f t="shared" si="3"/>
        <v/>
      </c>
      <c r="L14" s="356"/>
      <c r="M14" s="340"/>
      <c r="N14" s="40" t="str">
        <f t="shared" si="1"/>
        <v/>
      </c>
      <c r="O14" s="260" t="str">
        <f>IF(ISBLANK(F14), "", IF(F14-E14 &gt; TIME(0,9,30), 6, 1))</f>
        <v/>
      </c>
      <c r="P14" s="24" t="str">
        <f t="shared" si="7"/>
        <v/>
      </c>
      <c r="Q14" s="25" t="str">
        <f t="shared" si="8"/>
        <v/>
      </c>
      <c r="R14" s="26" t="str">
        <f t="shared" si="5"/>
        <v/>
      </c>
      <c r="S14" s="360"/>
      <c r="T14" s="11"/>
    </row>
    <row r="15" spans="1:20" ht="14.4" x14ac:dyDescent="0.3">
      <c r="A15" s="4">
        <v>11</v>
      </c>
      <c r="B15" s="333"/>
      <c r="C15" s="333"/>
      <c r="D15" s="334"/>
      <c r="E15" s="335"/>
      <c r="F15" s="335"/>
      <c r="G15" s="13" t="str">
        <f t="shared" si="6"/>
        <v/>
      </c>
      <c r="H15" s="14" t="str">
        <f t="shared" si="0"/>
        <v/>
      </c>
      <c r="I15" s="15" t="str">
        <f t="shared" si="0"/>
        <v/>
      </c>
      <c r="J15" s="13" t="str">
        <f t="shared" si="2"/>
        <v/>
      </c>
      <c r="K15" s="16" t="str">
        <f t="shared" si="3"/>
        <v/>
      </c>
      <c r="L15" s="354"/>
      <c r="M15" s="334"/>
      <c r="N15" s="38" t="str">
        <f t="shared" si="1"/>
        <v/>
      </c>
      <c r="O15" s="257" t="str">
        <f t="shared" si="4"/>
        <v/>
      </c>
      <c r="P15" s="13" t="str">
        <f t="shared" si="7"/>
        <v/>
      </c>
      <c r="Q15" s="14" t="str">
        <f t="shared" si="8"/>
        <v/>
      </c>
      <c r="R15" s="15" t="str">
        <f t="shared" si="5"/>
        <v/>
      </c>
      <c r="S15" s="358"/>
      <c r="T15" s="8"/>
    </row>
    <row r="16" spans="1:20" ht="14.4" x14ac:dyDescent="0.3">
      <c r="A16" s="6">
        <v>12</v>
      </c>
      <c r="B16" s="336"/>
      <c r="C16" s="336"/>
      <c r="D16" s="337"/>
      <c r="E16" s="338"/>
      <c r="F16" s="338"/>
      <c r="G16" s="17" t="str">
        <f t="shared" si="6"/>
        <v/>
      </c>
      <c r="H16" s="18" t="str">
        <f t="shared" si="0"/>
        <v/>
      </c>
      <c r="I16" s="19" t="str">
        <f t="shared" si="0"/>
        <v/>
      </c>
      <c r="J16" s="17" t="str">
        <f t="shared" si="2"/>
        <v/>
      </c>
      <c r="K16" s="20" t="str">
        <f t="shared" si="3"/>
        <v/>
      </c>
      <c r="L16" s="355"/>
      <c r="M16" s="337"/>
      <c r="N16" s="39" t="str">
        <f t="shared" si="1"/>
        <v/>
      </c>
      <c r="O16" s="258" t="str">
        <f t="shared" si="4"/>
        <v/>
      </c>
      <c r="P16" s="17" t="str">
        <f t="shared" si="7"/>
        <v/>
      </c>
      <c r="Q16" s="18" t="str">
        <f t="shared" si="8"/>
        <v/>
      </c>
      <c r="R16" s="19" t="str">
        <f t="shared" si="5"/>
        <v/>
      </c>
      <c r="S16" s="359"/>
      <c r="T16" s="9"/>
    </row>
    <row r="17" spans="1:20" ht="14.4" x14ac:dyDescent="0.3">
      <c r="A17" s="6">
        <v>13</v>
      </c>
      <c r="B17" s="336"/>
      <c r="C17" s="336"/>
      <c r="D17" s="337"/>
      <c r="E17" s="338"/>
      <c r="F17" s="338"/>
      <c r="G17" s="17" t="str">
        <f t="shared" si="6"/>
        <v/>
      </c>
      <c r="H17" s="18" t="str">
        <f t="shared" si="0"/>
        <v/>
      </c>
      <c r="I17" s="19" t="str">
        <f t="shared" si="0"/>
        <v/>
      </c>
      <c r="J17" s="17" t="str">
        <f t="shared" si="2"/>
        <v/>
      </c>
      <c r="K17" s="20" t="str">
        <f t="shared" si="3"/>
        <v/>
      </c>
      <c r="L17" s="355"/>
      <c r="M17" s="337"/>
      <c r="N17" s="39" t="str">
        <f t="shared" si="1"/>
        <v/>
      </c>
      <c r="O17" s="258" t="str">
        <f t="shared" si="4"/>
        <v/>
      </c>
      <c r="P17" s="17" t="str">
        <f t="shared" si="7"/>
        <v/>
      </c>
      <c r="Q17" s="18" t="str">
        <f t="shared" si="8"/>
        <v/>
      </c>
      <c r="R17" s="19" t="str">
        <f t="shared" si="5"/>
        <v/>
      </c>
      <c r="S17" s="359"/>
      <c r="T17" s="9"/>
    </row>
    <row r="18" spans="1:20" ht="14.4" x14ac:dyDescent="0.3">
      <c r="A18" s="6">
        <v>14</v>
      </c>
      <c r="B18" s="336"/>
      <c r="C18" s="336"/>
      <c r="D18" s="337"/>
      <c r="E18" s="338"/>
      <c r="F18" s="338"/>
      <c r="G18" s="17" t="str">
        <f t="shared" si="6"/>
        <v/>
      </c>
      <c r="H18" s="18" t="str">
        <f t="shared" si="0"/>
        <v/>
      </c>
      <c r="I18" s="19" t="str">
        <f t="shared" si="0"/>
        <v/>
      </c>
      <c r="J18" s="17" t="str">
        <f t="shared" si="2"/>
        <v/>
      </c>
      <c r="K18" s="20" t="str">
        <f t="shared" si="3"/>
        <v/>
      </c>
      <c r="L18" s="355"/>
      <c r="M18" s="337"/>
      <c r="N18" s="39" t="str">
        <f t="shared" si="1"/>
        <v/>
      </c>
      <c r="O18" s="258" t="str">
        <f t="shared" si="4"/>
        <v/>
      </c>
      <c r="P18" s="17" t="str">
        <f t="shared" si="7"/>
        <v/>
      </c>
      <c r="Q18" s="18" t="str">
        <f t="shared" si="8"/>
        <v/>
      </c>
      <c r="R18" s="19" t="str">
        <f t="shared" si="5"/>
        <v/>
      </c>
      <c r="S18" s="359"/>
      <c r="T18" s="9"/>
    </row>
    <row r="19" spans="1:20" ht="15" thickBot="1" x14ac:dyDescent="0.35">
      <c r="A19" s="10">
        <v>15</v>
      </c>
      <c r="B19" s="339"/>
      <c r="C19" s="339"/>
      <c r="D19" s="340"/>
      <c r="E19" s="341"/>
      <c r="F19" s="341"/>
      <c r="G19" s="24" t="str">
        <f t="shared" si="6"/>
        <v/>
      </c>
      <c r="H19" s="25" t="str">
        <f t="shared" si="0"/>
        <v/>
      </c>
      <c r="I19" s="26" t="str">
        <f t="shared" si="0"/>
        <v/>
      </c>
      <c r="J19" s="24" t="str">
        <f t="shared" si="2"/>
        <v/>
      </c>
      <c r="K19" s="27" t="str">
        <f t="shared" si="3"/>
        <v/>
      </c>
      <c r="L19" s="356"/>
      <c r="M19" s="340"/>
      <c r="N19" s="40" t="str">
        <f t="shared" si="1"/>
        <v/>
      </c>
      <c r="O19" s="260" t="str">
        <f t="shared" si="4"/>
        <v/>
      </c>
      <c r="P19" s="24" t="str">
        <f t="shared" si="7"/>
        <v/>
      </c>
      <c r="Q19" s="25" t="str">
        <f t="shared" si="8"/>
        <v/>
      </c>
      <c r="R19" s="26" t="str">
        <f t="shared" si="5"/>
        <v/>
      </c>
      <c r="S19" s="360"/>
      <c r="T19" s="11"/>
    </row>
    <row r="20" spans="1:20" ht="14.4" x14ac:dyDescent="0.3">
      <c r="A20" s="4">
        <v>16</v>
      </c>
      <c r="B20" s="333"/>
      <c r="C20" s="333"/>
      <c r="D20" s="334"/>
      <c r="E20" s="335"/>
      <c r="F20" s="335"/>
      <c r="G20" s="13" t="str">
        <f t="shared" si="6"/>
        <v/>
      </c>
      <c r="H20" s="14" t="str">
        <f t="shared" si="0"/>
        <v/>
      </c>
      <c r="I20" s="15" t="str">
        <f t="shared" si="0"/>
        <v/>
      </c>
      <c r="J20" s="13" t="str">
        <f t="shared" si="2"/>
        <v/>
      </c>
      <c r="K20" s="16" t="str">
        <f t="shared" si="3"/>
        <v/>
      </c>
      <c r="L20" s="354"/>
      <c r="M20" s="334"/>
      <c r="N20" s="38" t="str">
        <f t="shared" si="1"/>
        <v/>
      </c>
      <c r="O20" s="257" t="str">
        <f t="shared" si="4"/>
        <v/>
      </c>
      <c r="P20" s="13" t="str">
        <f t="shared" si="7"/>
        <v/>
      </c>
      <c r="Q20" s="14" t="str">
        <f t="shared" si="8"/>
        <v/>
      </c>
      <c r="R20" s="15" t="str">
        <f t="shared" si="5"/>
        <v/>
      </c>
      <c r="S20" s="358"/>
      <c r="T20" s="8"/>
    </row>
    <row r="21" spans="1:20" ht="14.4" x14ac:dyDescent="0.3">
      <c r="A21" s="6">
        <v>17</v>
      </c>
      <c r="B21" s="336"/>
      <c r="C21" s="336"/>
      <c r="D21" s="337"/>
      <c r="E21" s="338"/>
      <c r="F21" s="338"/>
      <c r="G21" s="17" t="str">
        <f t="shared" si="6"/>
        <v/>
      </c>
      <c r="H21" s="18" t="str">
        <f t="shared" ref="H21:I27" si="9">IF($D21="","",IF($D21=H$3,$F21-$E21,""))</f>
        <v/>
      </c>
      <c r="I21" s="19" t="str">
        <f t="shared" si="9"/>
        <v/>
      </c>
      <c r="J21" s="17" t="str">
        <f t="shared" si="2"/>
        <v/>
      </c>
      <c r="K21" s="20" t="str">
        <f t="shared" si="3"/>
        <v/>
      </c>
      <c r="L21" s="355"/>
      <c r="M21" s="337"/>
      <c r="N21" s="39" t="str">
        <f t="shared" si="1"/>
        <v/>
      </c>
      <c r="O21" s="258" t="str">
        <f t="shared" si="4"/>
        <v/>
      </c>
      <c r="P21" s="17" t="str">
        <f t="shared" si="7"/>
        <v/>
      </c>
      <c r="Q21" s="18" t="str">
        <f t="shared" si="8"/>
        <v/>
      </c>
      <c r="R21" s="19" t="str">
        <f t="shared" si="5"/>
        <v/>
      </c>
      <c r="S21" s="359"/>
      <c r="T21" s="9"/>
    </row>
    <row r="22" spans="1:20" ht="14.4" x14ac:dyDescent="0.3">
      <c r="A22" s="6">
        <v>18</v>
      </c>
      <c r="B22" s="336"/>
      <c r="C22" s="336"/>
      <c r="D22" s="337"/>
      <c r="E22" s="338"/>
      <c r="F22" s="338"/>
      <c r="G22" s="17" t="str">
        <f t="shared" si="6"/>
        <v/>
      </c>
      <c r="H22" s="18" t="str">
        <f t="shared" si="9"/>
        <v/>
      </c>
      <c r="I22" s="19" t="str">
        <f t="shared" si="9"/>
        <v/>
      </c>
      <c r="J22" s="17" t="str">
        <f t="shared" si="2"/>
        <v/>
      </c>
      <c r="K22" s="20" t="str">
        <f t="shared" si="3"/>
        <v/>
      </c>
      <c r="L22" s="355"/>
      <c r="M22" s="337"/>
      <c r="N22" s="39" t="str">
        <f t="shared" si="1"/>
        <v/>
      </c>
      <c r="O22" s="258" t="str">
        <f t="shared" si="4"/>
        <v/>
      </c>
      <c r="P22" s="17" t="str">
        <f t="shared" si="7"/>
        <v/>
      </c>
      <c r="Q22" s="18" t="str">
        <f t="shared" si="8"/>
        <v/>
      </c>
      <c r="R22" s="19" t="str">
        <f t="shared" si="5"/>
        <v/>
      </c>
      <c r="S22" s="359"/>
      <c r="T22" s="9"/>
    </row>
    <row r="23" spans="1:20" ht="14.4" x14ac:dyDescent="0.3">
      <c r="A23" s="6">
        <v>19</v>
      </c>
      <c r="B23" s="336"/>
      <c r="C23" s="336"/>
      <c r="D23" s="337"/>
      <c r="E23" s="338"/>
      <c r="F23" s="338"/>
      <c r="G23" s="17" t="str">
        <f t="shared" si="6"/>
        <v/>
      </c>
      <c r="H23" s="18" t="str">
        <f t="shared" si="9"/>
        <v/>
      </c>
      <c r="I23" s="19" t="str">
        <f t="shared" si="9"/>
        <v/>
      </c>
      <c r="J23" s="17" t="str">
        <f t="shared" si="2"/>
        <v/>
      </c>
      <c r="K23" s="20" t="str">
        <f t="shared" si="3"/>
        <v/>
      </c>
      <c r="L23" s="355"/>
      <c r="M23" s="337"/>
      <c r="N23" s="39" t="str">
        <f t="shared" si="1"/>
        <v/>
      </c>
      <c r="O23" s="258" t="str">
        <f t="shared" si="4"/>
        <v/>
      </c>
      <c r="P23" s="17" t="str">
        <f t="shared" si="7"/>
        <v/>
      </c>
      <c r="Q23" s="18" t="str">
        <f t="shared" si="8"/>
        <v/>
      </c>
      <c r="R23" s="19" t="str">
        <f t="shared" si="5"/>
        <v/>
      </c>
      <c r="S23" s="359"/>
      <c r="T23" s="9"/>
    </row>
    <row r="24" spans="1:20" ht="15" thickBot="1" x14ac:dyDescent="0.35">
      <c r="A24" s="10">
        <v>20</v>
      </c>
      <c r="B24" s="339"/>
      <c r="C24" s="339"/>
      <c r="D24" s="340"/>
      <c r="E24" s="341"/>
      <c r="F24" s="341"/>
      <c r="G24" s="24" t="str">
        <f t="shared" si="6"/>
        <v/>
      </c>
      <c r="H24" s="25" t="str">
        <f t="shared" si="9"/>
        <v/>
      </c>
      <c r="I24" s="26" t="str">
        <f t="shared" si="9"/>
        <v/>
      </c>
      <c r="J24" s="24" t="str">
        <f t="shared" si="2"/>
        <v/>
      </c>
      <c r="K24" s="27" t="str">
        <f t="shared" si="3"/>
        <v/>
      </c>
      <c r="L24" s="356"/>
      <c r="M24" s="340"/>
      <c r="N24" s="40" t="str">
        <f t="shared" si="1"/>
        <v/>
      </c>
      <c r="O24" s="260" t="str">
        <f t="shared" si="4"/>
        <v/>
      </c>
      <c r="P24" s="24" t="str">
        <f t="shared" si="7"/>
        <v/>
      </c>
      <c r="Q24" s="25" t="str">
        <f t="shared" si="8"/>
        <v/>
      </c>
      <c r="R24" s="26" t="str">
        <f t="shared" si="5"/>
        <v/>
      </c>
      <c r="S24" s="360"/>
      <c r="T24" s="11"/>
    </row>
    <row r="25" spans="1:20" ht="14.4" x14ac:dyDescent="0.3">
      <c r="A25" s="4">
        <v>21</v>
      </c>
      <c r="B25" s="333"/>
      <c r="C25" s="333"/>
      <c r="D25" s="334"/>
      <c r="E25" s="335"/>
      <c r="F25" s="335"/>
      <c r="G25" s="13" t="str">
        <f t="shared" si="6"/>
        <v/>
      </c>
      <c r="H25" s="14" t="str">
        <f t="shared" si="9"/>
        <v/>
      </c>
      <c r="I25" s="15" t="str">
        <f t="shared" si="9"/>
        <v/>
      </c>
      <c r="J25" s="13" t="str">
        <f t="shared" si="2"/>
        <v/>
      </c>
      <c r="K25" s="16" t="str">
        <f t="shared" si="3"/>
        <v/>
      </c>
      <c r="L25" s="354"/>
      <c r="M25" s="334"/>
      <c r="N25" s="38" t="str">
        <f t="shared" si="1"/>
        <v/>
      </c>
      <c r="O25" s="257" t="str">
        <f t="shared" si="4"/>
        <v/>
      </c>
      <c r="P25" s="13" t="str">
        <f t="shared" si="7"/>
        <v/>
      </c>
      <c r="Q25" s="14" t="str">
        <f t="shared" si="8"/>
        <v/>
      </c>
      <c r="R25" s="15" t="str">
        <f t="shared" si="5"/>
        <v/>
      </c>
      <c r="S25" s="358"/>
      <c r="T25" s="8"/>
    </row>
    <row r="26" spans="1:20" ht="14.4" x14ac:dyDescent="0.3">
      <c r="A26" s="6">
        <v>22</v>
      </c>
      <c r="B26" s="336"/>
      <c r="C26" s="336"/>
      <c r="D26" s="337"/>
      <c r="E26" s="338"/>
      <c r="F26" s="338"/>
      <c r="G26" s="17" t="str">
        <f t="shared" si="6"/>
        <v/>
      </c>
      <c r="H26" s="18" t="str">
        <f t="shared" si="9"/>
        <v/>
      </c>
      <c r="I26" s="19" t="str">
        <f t="shared" si="9"/>
        <v/>
      </c>
      <c r="J26" s="17" t="str">
        <f t="shared" si="2"/>
        <v/>
      </c>
      <c r="K26" s="20" t="str">
        <f t="shared" si="3"/>
        <v/>
      </c>
      <c r="L26" s="355"/>
      <c r="M26" s="337"/>
      <c r="N26" s="39" t="str">
        <f t="shared" si="1"/>
        <v/>
      </c>
      <c r="O26" s="258" t="str">
        <f t="shared" si="4"/>
        <v/>
      </c>
      <c r="P26" s="17" t="str">
        <f t="shared" si="7"/>
        <v/>
      </c>
      <c r="Q26" s="18" t="str">
        <f t="shared" si="8"/>
        <v/>
      </c>
      <c r="R26" s="19" t="str">
        <f t="shared" si="5"/>
        <v/>
      </c>
      <c r="S26" s="359"/>
      <c r="T26" s="9"/>
    </row>
    <row r="27" spans="1:20" ht="15" thickBot="1" x14ac:dyDescent="0.35">
      <c r="A27" s="10">
        <v>23</v>
      </c>
      <c r="B27" s="339"/>
      <c r="C27" s="339"/>
      <c r="D27" s="340"/>
      <c r="E27" s="341"/>
      <c r="F27" s="341"/>
      <c r="G27" s="24" t="str">
        <f t="shared" si="6"/>
        <v/>
      </c>
      <c r="H27" s="25" t="str">
        <f t="shared" si="9"/>
        <v/>
      </c>
      <c r="I27" s="26" t="str">
        <f t="shared" si="9"/>
        <v/>
      </c>
      <c r="J27" s="24" t="str">
        <f t="shared" si="2"/>
        <v/>
      </c>
      <c r="K27" s="27" t="str">
        <f t="shared" si="3"/>
        <v/>
      </c>
      <c r="L27" s="356"/>
      <c r="M27" s="340"/>
      <c r="N27" s="40" t="str">
        <f t="shared" si="1"/>
        <v/>
      </c>
      <c r="O27" s="260" t="str">
        <f t="shared" si="4"/>
        <v/>
      </c>
      <c r="P27" s="24" t="str">
        <f t="shared" si="7"/>
        <v/>
      </c>
      <c r="Q27" s="25" t="str">
        <f t="shared" si="8"/>
        <v/>
      </c>
      <c r="R27" s="26" t="str">
        <f t="shared" si="5"/>
        <v/>
      </c>
      <c r="S27" s="360"/>
      <c r="T27" s="11"/>
    </row>
    <row r="28" spans="1:20" ht="14.4" x14ac:dyDescent="0.3">
      <c r="A28" s="5">
        <v>24</v>
      </c>
      <c r="B28" s="332"/>
      <c r="C28" s="333"/>
      <c r="D28" s="334"/>
      <c r="E28" s="335"/>
      <c r="F28" s="335"/>
      <c r="G28" s="13" t="str">
        <f>IF($D28="","",IF($D28=G$3,$F28-$E28,""))</f>
        <v/>
      </c>
      <c r="H28" s="14" t="str">
        <f>IF($D28="","",IF($D28=H$3,$F28-$E28,""))</f>
        <v/>
      </c>
      <c r="I28" s="15" t="str">
        <f>IF($D28="","",IF($D28=I$3,$F28-$E28,""))</f>
        <v/>
      </c>
      <c r="J28" s="13" t="str">
        <f>IF($D28="","",IF($D28=CONCATENATE(J$2," ",J$3),$F28-$E28,""))</f>
        <v/>
      </c>
      <c r="K28" s="16" t="str">
        <f>IF($D28="","",IF($D28=CONCATENATE(J$2," ",K$3),$F28-$E28,""))</f>
        <v/>
      </c>
      <c r="L28" s="354"/>
      <c r="M28" s="334"/>
      <c r="N28" s="38" t="str">
        <f t="shared" ref="N28:N36" si="10">IF($D28="","",IF($D28="PAX",$F28-$E28,""))</f>
        <v/>
      </c>
      <c r="O28" s="257" t="str">
        <f>IF(ISBLANK(F28), "", IF(F28-E28 &gt; TIME(0,9,30), 6, 1))</f>
        <v/>
      </c>
      <c r="P28" s="13" t="str">
        <f>IF($O28=P$4,F28-E28,"")</f>
        <v/>
      </c>
      <c r="Q28" s="14" t="str">
        <f>IF($O28=6,F28-E28,"")</f>
        <v/>
      </c>
      <c r="R28" s="15" t="str">
        <f>IF($O28=R$4,F28-E28,"")</f>
        <v/>
      </c>
      <c r="S28" s="358"/>
      <c r="T28" s="8"/>
    </row>
    <row r="29" spans="1:20" ht="14.4" x14ac:dyDescent="0.3">
      <c r="A29" s="7">
        <v>25</v>
      </c>
      <c r="B29" s="342"/>
      <c r="C29" s="336"/>
      <c r="D29" s="337"/>
      <c r="E29" s="338"/>
      <c r="F29" s="338"/>
      <c r="G29" s="17" t="str">
        <f t="shared" ref="G29:G36" si="11">IF($D29="","",IF($D29=G$3,$F29-$E29,""))</f>
        <v/>
      </c>
      <c r="H29" s="18" t="str">
        <f t="shared" ref="H29:I36" si="12">IF($D29="","",IF($D29=H$3,$F29-$E29,""))</f>
        <v/>
      </c>
      <c r="I29" s="19" t="str">
        <f t="shared" si="12"/>
        <v/>
      </c>
      <c r="J29" s="17" t="str">
        <f t="shared" ref="J29:J36" si="13">IF($D29="","",IF($D29=CONCATENATE(J$2," ",J$3),$F29-$E29,""))</f>
        <v/>
      </c>
      <c r="K29" s="20" t="str">
        <f t="shared" ref="K29:K36" si="14">IF($D29="","",IF($D29=CONCATENATE(J$2," ",K$3),$F29-$E29,""))</f>
        <v/>
      </c>
      <c r="L29" s="355"/>
      <c r="M29" s="337"/>
      <c r="N29" s="39" t="str">
        <f>IF($D29="","",IF($D29="PAX",$F29-$E29,""))</f>
        <v/>
      </c>
      <c r="O29" s="258" t="str">
        <f t="shared" ref="O29:O36" si="15">IF(ISBLANK(F29), "", IF(F29-E29 &gt; TIME(0,9,30), 6, 1))</f>
        <v/>
      </c>
      <c r="P29" s="17" t="str">
        <f t="shared" ref="P29:P36" si="16">IF($O29=P$4,F29-E29,"")</f>
        <v/>
      </c>
      <c r="Q29" s="18" t="str">
        <f t="shared" ref="Q29:Q36" si="17">IF($O29=6,F29-E29,"")</f>
        <v/>
      </c>
      <c r="R29" s="19" t="str">
        <f t="shared" ref="R29:R36" si="18">IF($O29=R$4,F29-E29,"")</f>
        <v/>
      </c>
      <c r="S29" s="359"/>
      <c r="T29" s="9"/>
    </row>
    <row r="30" spans="1:20" ht="14.4" x14ac:dyDescent="0.3">
      <c r="A30" s="7">
        <v>26</v>
      </c>
      <c r="B30" s="342"/>
      <c r="C30" s="336"/>
      <c r="D30" s="337"/>
      <c r="E30" s="338"/>
      <c r="F30" s="338"/>
      <c r="G30" s="17" t="str">
        <f t="shared" si="11"/>
        <v/>
      </c>
      <c r="H30" s="18" t="str">
        <f t="shared" si="12"/>
        <v/>
      </c>
      <c r="I30" s="19" t="str">
        <f t="shared" si="12"/>
        <v/>
      </c>
      <c r="J30" s="17" t="str">
        <f t="shared" si="13"/>
        <v/>
      </c>
      <c r="K30" s="20" t="str">
        <f t="shared" si="14"/>
        <v/>
      </c>
      <c r="L30" s="355"/>
      <c r="M30" s="337"/>
      <c r="N30" s="39" t="str">
        <f t="shared" si="10"/>
        <v/>
      </c>
      <c r="O30" s="258" t="str">
        <f t="shared" si="15"/>
        <v/>
      </c>
      <c r="P30" s="17" t="str">
        <f t="shared" si="16"/>
        <v/>
      </c>
      <c r="Q30" s="18" t="str">
        <f t="shared" si="17"/>
        <v/>
      </c>
      <c r="R30" s="19" t="str">
        <f t="shared" si="18"/>
        <v/>
      </c>
      <c r="S30" s="359"/>
      <c r="T30" s="9"/>
    </row>
    <row r="31" spans="1:20" ht="14.4" x14ac:dyDescent="0.3">
      <c r="A31" s="7">
        <v>27</v>
      </c>
      <c r="B31" s="342"/>
      <c r="C31" s="336"/>
      <c r="D31" s="337"/>
      <c r="E31" s="338"/>
      <c r="F31" s="338"/>
      <c r="G31" s="17" t="str">
        <f t="shared" si="11"/>
        <v/>
      </c>
      <c r="H31" s="18" t="str">
        <f t="shared" si="12"/>
        <v/>
      </c>
      <c r="I31" s="19" t="str">
        <f t="shared" si="12"/>
        <v/>
      </c>
      <c r="J31" s="17" t="str">
        <f t="shared" si="13"/>
        <v/>
      </c>
      <c r="K31" s="20" t="str">
        <f t="shared" si="14"/>
        <v/>
      </c>
      <c r="L31" s="355"/>
      <c r="M31" s="337"/>
      <c r="N31" s="39" t="str">
        <f t="shared" si="10"/>
        <v/>
      </c>
      <c r="O31" s="258" t="str">
        <f t="shared" si="15"/>
        <v/>
      </c>
      <c r="P31" s="17" t="str">
        <f t="shared" si="16"/>
        <v/>
      </c>
      <c r="Q31" s="18" t="str">
        <f t="shared" si="17"/>
        <v/>
      </c>
      <c r="R31" s="19" t="str">
        <f t="shared" si="18"/>
        <v/>
      </c>
      <c r="S31" s="359"/>
      <c r="T31" s="9"/>
    </row>
    <row r="32" spans="1:20" ht="15" thickBot="1" x14ac:dyDescent="0.35">
      <c r="A32" s="43">
        <v>28</v>
      </c>
      <c r="B32" s="343"/>
      <c r="C32" s="339"/>
      <c r="D32" s="340"/>
      <c r="E32" s="341"/>
      <c r="F32" s="341"/>
      <c r="G32" s="24" t="str">
        <f t="shared" si="11"/>
        <v/>
      </c>
      <c r="H32" s="25" t="str">
        <f t="shared" si="12"/>
        <v/>
      </c>
      <c r="I32" s="26" t="str">
        <f t="shared" si="12"/>
        <v/>
      </c>
      <c r="J32" s="24" t="str">
        <f t="shared" si="13"/>
        <v/>
      </c>
      <c r="K32" s="27" t="str">
        <f t="shared" si="14"/>
        <v/>
      </c>
      <c r="L32" s="356"/>
      <c r="M32" s="340"/>
      <c r="N32" s="40" t="str">
        <f t="shared" si="10"/>
        <v/>
      </c>
      <c r="O32" s="260" t="str">
        <f t="shared" si="15"/>
        <v/>
      </c>
      <c r="P32" s="24" t="str">
        <f t="shared" si="16"/>
        <v/>
      </c>
      <c r="Q32" s="25" t="str">
        <f t="shared" si="17"/>
        <v/>
      </c>
      <c r="R32" s="26" t="str">
        <f t="shared" si="18"/>
        <v/>
      </c>
      <c r="S32" s="360"/>
      <c r="T32" s="11"/>
    </row>
    <row r="33" spans="1:21" ht="14.4" x14ac:dyDescent="0.3">
      <c r="A33" s="189">
        <v>29</v>
      </c>
      <c r="B33" s="344"/>
      <c r="C33" s="345"/>
      <c r="D33" s="346"/>
      <c r="E33" s="347"/>
      <c r="F33" s="347"/>
      <c r="G33" s="28" t="str">
        <f t="shared" si="11"/>
        <v/>
      </c>
      <c r="H33" s="29" t="str">
        <f t="shared" si="12"/>
        <v/>
      </c>
      <c r="I33" s="30" t="str">
        <f t="shared" si="12"/>
        <v/>
      </c>
      <c r="J33" s="28" t="str">
        <f t="shared" si="13"/>
        <v/>
      </c>
      <c r="K33" s="31" t="str">
        <f t="shared" si="14"/>
        <v/>
      </c>
      <c r="L33" s="357"/>
      <c r="M33" s="346"/>
      <c r="N33" s="41" t="str">
        <f t="shared" si="10"/>
        <v/>
      </c>
      <c r="O33" s="261" t="str">
        <f t="shared" si="15"/>
        <v/>
      </c>
      <c r="P33" s="28" t="str">
        <f t="shared" si="16"/>
        <v/>
      </c>
      <c r="Q33" s="29" t="str">
        <f t="shared" si="17"/>
        <v/>
      </c>
      <c r="R33" s="30" t="str">
        <f t="shared" si="18"/>
        <v/>
      </c>
      <c r="S33" s="361"/>
      <c r="T33" s="12"/>
    </row>
    <row r="34" spans="1:21" ht="14.4" x14ac:dyDescent="0.3">
      <c r="A34" s="7">
        <v>30</v>
      </c>
      <c r="B34" s="342"/>
      <c r="C34" s="336"/>
      <c r="D34" s="337"/>
      <c r="E34" s="338"/>
      <c r="F34" s="338"/>
      <c r="G34" s="17" t="str">
        <f t="shared" si="11"/>
        <v/>
      </c>
      <c r="H34" s="18" t="str">
        <f t="shared" si="12"/>
        <v/>
      </c>
      <c r="I34" s="19" t="str">
        <f t="shared" si="12"/>
        <v/>
      </c>
      <c r="J34" s="17" t="str">
        <f t="shared" si="13"/>
        <v/>
      </c>
      <c r="K34" s="20" t="str">
        <f t="shared" si="14"/>
        <v/>
      </c>
      <c r="L34" s="355"/>
      <c r="M34" s="337"/>
      <c r="N34" s="39" t="str">
        <f t="shared" si="10"/>
        <v/>
      </c>
      <c r="O34" s="258" t="str">
        <f t="shared" si="15"/>
        <v/>
      </c>
      <c r="P34" s="17" t="str">
        <f t="shared" si="16"/>
        <v/>
      </c>
      <c r="Q34" s="18" t="str">
        <f t="shared" si="17"/>
        <v/>
      </c>
      <c r="R34" s="19" t="str">
        <f t="shared" si="18"/>
        <v/>
      </c>
      <c r="S34" s="359"/>
      <c r="T34" s="9"/>
    </row>
    <row r="35" spans="1:21" ht="14.4" x14ac:dyDescent="0.3">
      <c r="A35" s="7">
        <v>31</v>
      </c>
      <c r="B35" s="342"/>
      <c r="C35" s="336"/>
      <c r="D35" s="337"/>
      <c r="E35" s="338"/>
      <c r="F35" s="338"/>
      <c r="G35" s="17" t="str">
        <f t="shared" si="11"/>
        <v/>
      </c>
      <c r="H35" s="18" t="str">
        <f t="shared" si="12"/>
        <v/>
      </c>
      <c r="I35" s="19" t="str">
        <f t="shared" si="12"/>
        <v/>
      </c>
      <c r="J35" s="17" t="str">
        <f t="shared" si="13"/>
        <v/>
      </c>
      <c r="K35" s="20" t="str">
        <f t="shared" si="14"/>
        <v/>
      </c>
      <c r="L35" s="355"/>
      <c r="M35" s="337"/>
      <c r="N35" s="39" t="str">
        <f t="shared" si="10"/>
        <v/>
      </c>
      <c r="O35" s="258" t="str">
        <f t="shared" si="15"/>
        <v/>
      </c>
      <c r="P35" s="17" t="str">
        <f t="shared" si="16"/>
        <v/>
      </c>
      <c r="Q35" s="18" t="str">
        <f t="shared" si="17"/>
        <v/>
      </c>
      <c r="R35" s="19" t="str">
        <f t="shared" si="18"/>
        <v/>
      </c>
      <c r="S35" s="359"/>
      <c r="T35" s="9"/>
    </row>
    <row r="36" spans="1:21" ht="15" thickBot="1" x14ac:dyDescent="0.35">
      <c r="A36" s="43">
        <v>32</v>
      </c>
      <c r="B36" s="343"/>
      <c r="C36" s="339"/>
      <c r="D36" s="340"/>
      <c r="E36" s="338"/>
      <c r="F36" s="338"/>
      <c r="G36" s="17" t="str">
        <f t="shared" si="11"/>
        <v/>
      </c>
      <c r="H36" s="18" t="str">
        <f t="shared" si="12"/>
        <v/>
      </c>
      <c r="I36" s="19" t="str">
        <f t="shared" si="12"/>
        <v/>
      </c>
      <c r="J36" s="17" t="str">
        <f t="shared" si="13"/>
        <v/>
      </c>
      <c r="K36" s="20" t="str">
        <f t="shared" si="14"/>
        <v/>
      </c>
      <c r="L36" s="356"/>
      <c r="M36" s="340"/>
      <c r="N36" s="39" t="str">
        <f t="shared" si="10"/>
        <v/>
      </c>
      <c r="O36" s="7" t="str">
        <f t="shared" si="15"/>
        <v/>
      </c>
      <c r="P36" s="21" t="str">
        <f t="shared" si="16"/>
        <v/>
      </c>
      <c r="Q36" s="22" t="str">
        <f t="shared" si="17"/>
        <v/>
      </c>
      <c r="R36" s="23" t="str">
        <f t="shared" si="18"/>
        <v/>
      </c>
      <c r="S36" s="360"/>
      <c r="T36" s="11"/>
    </row>
    <row r="37" spans="1:21" ht="27.9" customHeight="1" thickBot="1" x14ac:dyDescent="0.3">
      <c r="E37" s="196" t="s">
        <v>35</v>
      </c>
      <c r="F37" s="197"/>
      <c r="G37" s="35" t="str">
        <f>IF(G$5="","",SUM(G5:G36))</f>
        <v/>
      </c>
      <c r="H37" s="36" t="str">
        <f t="shared" ref="H37:L37" si="19">IF(H$5="","",SUM(H5:H36))</f>
        <v/>
      </c>
      <c r="I37" s="36" t="str">
        <f t="shared" si="19"/>
        <v/>
      </c>
      <c r="J37" s="36" t="str">
        <f t="shared" si="19"/>
        <v/>
      </c>
      <c r="K37" s="37" t="str">
        <f t="shared" si="19"/>
        <v/>
      </c>
      <c r="L37" s="143" t="str">
        <f t="shared" si="19"/>
        <v/>
      </c>
      <c r="M37" s="143" t="str">
        <f t="shared" ref="M37" si="20">IF(M$5="","",SUM(M5:M36))</f>
        <v/>
      </c>
      <c r="N37" s="42" t="str">
        <f t="shared" ref="N37" si="21">IF(N$5="","",SUM(N5:N36))</f>
        <v/>
      </c>
      <c r="O37" s="143"/>
      <c r="P37" s="161" t="str">
        <f>IF(SUM(P5:P36)=0,"",SUM(P5:P36))</f>
        <v/>
      </c>
      <c r="Q37" s="184" t="str">
        <f t="shared" ref="Q37:R37" si="22">IF(SUM(Q5:Q36)=0,"",SUM(Q5:Q36))</f>
        <v/>
      </c>
      <c r="R37" s="162" t="str">
        <f t="shared" si="22"/>
        <v/>
      </c>
    </row>
    <row r="38" spans="1:21" ht="27.9" customHeight="1" thickBot="1" x14ac:dyDescent="0.3">
      <c r="E38" s="194" t="s">
        <v>36</v>
      </c>
      <c r="F38" s="195"/>
      <c r="G38" s="32" t="str">
        <f>IF(G$5="","",32-COUNTBLANK(G5:G36))</f>
        <v/>
      </c>
      <c r="H38" s="33" t="str">
        <f t="shared" ref="H38:N38" si="23">IF(H$5="","",32-COUNTBLANK(H5:H36))</f>
        <v/>
      </c>
      <c r="I38" s="33" t="str">
        <f t="shared" si="23"/>
        <v/>
      </c>
      <c r="J38" s="33" t="str">
        <f t="shared" si="23"/>
        <v/>
      </c>
      <c r="K38" s="34" t="str">
        <f t="shared" si="23"/>
        <v/>
      </c>
      <c r="L38" s="144" t="str">
        <f t="shared" si="23"/>
        <v/>
      </c>
      <c r="M38" s="144" t="str">
        <f t="shared" si="23"/>
        <v/>
      </c>
      <c r="N38" s="120" t="str">
        <f t="shared" si="23"/>
        <v/>
      </c>
      <c r="O38" s="144"/>
      <c r="P38" s="185" t="str">
        <f>IF(P37="","",32-COUNTBLANK(P5:P36))</f>
        <v/>
      </c>
      <c r="Q38" s="186" t="str">
        <f t="shared" ref="Q38:R38" si="24">IF(Q37="","",32-COUNTBLANK(Q5:Q36))</f>
        <v/>
      </c>
      <c r="R38" s="187" t="str">
        <f t="shared" si="24"/>
        <v/>
      </c>
    </row>
    <row r="39" spans="1:21" ht="19.2" customHeight="1" thickBot="1" x14ac:dyDescent="0.3">
      <c r="E39" s="181"/>
      <c r="F39" s="181"/>
      <c r="G39" s="144"/>
      <c r="H39" s="144"/>
      <c r="I39" s="144"/>
      <c r="J39" s="144"/>
      <c r="K39" s="144"/>
      <c r="L39" s="144"/>
      <c r="M39" s="144"/>
      <c r="N39" s="144"/>
      <c r="O39" s="144"/>
      <c r="P39" s="144"/>
      <c r="Q39" s="188"/>
      <c r="R39" s="144"/>
    </row>
    <row r="40" spans="1:21" ht="28.2" customHeight="1" thickBot="1" x14ac:dyDescent="0.3">
      <c r="E40" s="181"/>
      <c r="F40" s="181"/>
      <c r="K40" s="202" t="s">
        <v>151</v>
      </c>
      <c r="L40" s="203"/>
      <c r="M40" s="203"/>
      <c r="N40" s="204"/>
      <c r="O40" s="205" t="s">
        <v>152</v>
      </c>
      <c r="P40" s="206"/>
      <c r="Q40" s="206"/>
      <c r="R40" s="207"/>
    </row>
    <row r="41" spans="1:21" ht="28.2" customHeight="1" thickBot="1" x14ac:dyDescent="0.3">
      <c r="E41" s="181"/>
      <c r="F41" s="181"/>
      <c r="K41" s="348">
        <v>110.23819444444445</v>
      </c>
      <c r="L41" s="349"/>
      <c r="M41" s="349"/>
      <c r="N41" s="350"/>
      <c r="O41" s="351">
        <v>12454</v>
      </c>
      <c r="P41" s="352"/>
      <c r="Q41" s="352"/>
      <c r="R41" s="353"/>
    </row>
    <row r="42" spans="1:21" ht="19.95" customHeight="1" thickBot="1" x14ac:dyDescent="0.3">
      <c r="E42" s="181"/>
      <c r="F42" s="181"/>
      <c r="G42" s="201" t="s">
        <v>144</v>
      </c>
      <c r="H42" s="201"/>
      <c r="I42" s="201"/>
      <c r="J42" s="201"/>
      <c r="K42" s="201"/>
      <c r="L42" s="201"/>
      <c r="M42" s="201"/>
      <c r="N42" s="201"/>
      <c r="O42" s="201"/>
      <c r="P42" s="201"/>
      <c r="Q42" s="201"/>
      <c r="R42" s="201"/>
      <c r="S42" s="201"/>
      <c r="T42" s="201"/>
      <c r="U42" s="201"/>
    </row>
    <row r="43" spans="1:21" ht="15" customHeight="1" thickBot="1" x14ac:dyDescent="0.3">
      <c r="E43" s="181"/>
      <c r="F43" s="306"/>
      <c r="G43" s="307" t="s">
        <v>139</v>
      </c>
      <c r="H43" s="308"/>
      <c r="I43" s="308"/>
      <c r="J43" s="309"/>
      <c r="K43" s="307" t="s">
        <v>33</v>
      </c>
      <c r="L43" s="308"/>
      <c r="M43" s="308"/>
      <c r="N43" s="309"/>
      <c r="O43" s="310" t="s">
        <v>142</v>
      </c>
      <c r="P43" s="311"/>
      <c r="Q43" s="311"/>
      <c r="R43" s="312"/>
      <c r="S43" s="313" t="s">
        <v>143</v>
      </c>
      <c r="T43" s="311"/>
      <c r="U43" s="312"/>
    </row>
    <row r="44" spans="1:21" ht="22.2" customHeight="1" thickBot="1" x14ac:dyDescent="0.3">
      <c r="F44" s="314" t="s">
        <v>5</v>
      </c>
      <c r="G44" s="315" t="s">
        <v>140</v>
      </c>
      <c r="H44" s="316"/>
      <c r="I44" s="316" t="s">
        <v>141</v>
      </c>
      <c r="J44" s="317"/>
      <c r="K44" s="315" t="s">
        <v>140</v>
      </c>
      <c r="L44" s="316"/>
      <c r="M44" s="316" t="s">
        <v>141</v>
      </c>
      <c r="N44" s="317"/>
      <c r="O44" s="318"/>
      <c r="P44" s="319"/>
      <c r="Q44" s="319"/>
      <c r="R44" s="320"/>
      <c r="S44" s="321"/>
      <c r="T44" s="319"/>
      <c r="U44" s="320"/>
    </row>
    <row r="45" spans="1:21" ht="22.2" customHeight="1" thickBot="1" x14ac:dyDescent="0.3">
      <c r="E45" s="183" t="s">
        <v>145</v>
      </c>
      <c r="F45" s="322" t="str">
        <f>IF(O45="","",O1)</f>
        <v/>
      </c>
      <c r="G45" s="323" t="str">
        <f>IF(O45=1,P37,IF(O45=6,Q37,""))</f>
        <v/>
      </c>
      <c r="H45" s="324"/>
      <c r="I45" s="324" t="str">
        <f>IF(G45="","",K41+G45)</f>
        <v/>
      </c>
      <c r="J45" s="325"/>
      <c r="K45" s="326" t="str">
        <f>IF(O45=1,P38,IF(O45=6,Q38,""))</f>
        <v/>
      </c>
      <c r="L45" s="327"/>
      <c r="M45" s="327" t="str">
        <f>IF(K45="","",O41+K45)</f>
        <v/>
      </c>
      <c r="N45" s="325"/>
      <c r="O45" s="326" t="str">
        <f>IF($R$38&lt;=32,7,IF($Q$38&lt;=32,6,IF($P$38&lt;=32,1,"")))</f>
        <v/>
      </c>
      <c r="P45" s="327"/>
      <c r="Q45" s="327"/>
      <c r="R45" s="325"/>
      <c r="S45" s="328" t="e" cm="1" vm="1">
        <f t="array" aca="1" ref="S45" ca="1">INDEX(B5:B36,COUNTA(B5:B36))</f>
        <v>#VALUE!</v>
      </c>
      <c r="T45" s="327"/>
      <c r="U45" s="325"/>
    </row>
    <row r="46" spans="1:21" ht="22.2" customHeight="1" thickBot="1" x14ac:dyDescent="0.3">
      <c r="D46" s="182"/>
      <c r="E46" s="183" t="str">
        <f>IF(O46=1,"Line 2","")</f>
        <v/>
      </c>
      <c r="F46" s="322" t="str">
        <f>IF(O46="","",O1)</f>
        <v/>
      </c>
      <c r="G46" s="329" t="str">
        <f>IF(O46=1,P37,"")</f>
        <v/>
      </c>
      <c r="H46" s="330"/>
      <c r="I46" s="324" t="str">
        <f>IF(G46="","",I45+G46)</f>
        <v/>
      </c>
      <c r="J46" s="331"/>
      <c r="K46" s="326" t="str">
        <f>IF(O46=1,P38,"")</f>
        <v/>
      </c>
      <c r="L46" s="327"/>
      <c r="M46" s="327" t="str">
        <f>IF(K46="","",M45+K46)</f>
        <v/>
      </c>
      <c r="N46" s="325"/>
      <c r="O46" s="326" t="str">
        <f>IF(AND(O45=6,P38&lt;=32),1,"")</f>
        <v/>
      </c>
      <c r="P46" s="327"/>
      <c r="Q46" s="327"/>
      <c r="R46" s="325"/>
      <c r="S46" s="328" t="str" cm="1">
        <f t="array" ref="S46">IF(O46=1,INDEX(B5:B36,COUNTA(B5:B36)),"")</f>
        <v/>
      </c>
      <c r="T46" s="327"/>
      <c r="U46" s="325"/>
    </row>
  </sheetData>
  <sheetProtection algorithmName="SHA-512" hashValue="6AnwRIyYybHYyYscwSh70ufaoJUOdspyq2CMF6XDOgMDUpWpLIy/yzp7NyN6ZbxG/1EeDvjEHJsR43A5m2xSIA==" saltValue="29YkdsyGFOCv9yEb2Sp+iA==" spinCount="100000" sheet="1" objects="1" scenarios="1"/>
  <mergeCells count="39">
    <mergeCell ref="G42:U42"/>
    <mergeCell ref="K40:N40"/>
    <mergeCell ref="K41:N41"/>
    <mergeCell ref="O40:R40"/>
    <mergeCell ref="K45:L45"/>
    <mergeCell ref="G43:J43"/>
    <mergeCell ref="O41:R41"/>
    <mergeCell ref="M46:N46"/>
    <mergeCell ref="O43:R44"/>
    <mergeCell ref="O45:R45"/>
    <mergeCell ref="O46:R46"/>
    <mergeCell ref="S43:U44"/>
    <mergeCell ref="S46:U46"/>
    <mergeCell ref="M44:N44"/>
    <mergeCell ref="M45:N45"/>
    <mergeCell ref="S45:U45"/>
    <mergeCell ref="K43:N43"/>
    <mergeCell ref="G46:H46"/>
    <mergeCell ref="I45:J45"/>
    <mergeCell ref="I46:J46"/>
    <mergeCell ref="K46:L46"/>
    <mergeCell ref="G44:H44"/>
    <mergeCell ref="I44:J44"/>
    <mergeCell ref="K44:L44"/>
    <mergeCell ref="G45:H45"/>
    <mergeCell ref="E38:F38"/>
    <mergeCell ref="E37:F37"/>
    <mergeCell ref="O2:O4"/>
    <mergeCell ref="D1:E1"/>
    <mergeCell ref="H1:K1"/>
    <mergeCell ref="O1:Q1"/>
    <mergeCell ref="S2:S4"/>
    <mergeCell ref="T2:T4"/>
    <mergeCell ref="A2:A4"/>
    <mergeCell ref="N2:N4"/>
    <mergeCell ref="L2:M3"/>
    <mergeCell ref="G2:I2"/>
    <mergeCell ref="J2:K2"/>
    <mergeCell ref="P2:R3"/>
  </mergeCell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5:O3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45720</xdr:colOff>
                    <xdr:row>4</xdr:row>
                    <xdr:rowOff>0</xdr:rowOff>
                  </from>
                  <to>
                    <xdr:col>18</xdr:col>
                    <xdr:colOff>236220</xdr:colOff>
                    <xdr:row>5</xdr:row>
                    <xdr:rowOff>7620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45720</xdr:colOff>
                    <xdr:row>5</xdr:row>
                    <xdr:rowOff>0</xdr:rowOff>
                  </from>
                  <to>
                    <xdr:col>18</xdr:col>
                    <xdr:colOff>236220</xdr:colOff>
                    <xdr:row>6</xdr:row>
                    <xdr:rowOff>7620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45720</xdr:colOff>
                    <xdr:row>6</xdr:row>
                    <xdr:rowOff>0</xdr:rowOff>
                  </from>
                  <to>
                    <xdr:col>18</xdr:col>
                    <xdr:colOff>236220</xdr:colOff>
                    <xdr:row>7</xdr:row>
                    <xdr:rowOff>7620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45720</xdr:colOff>
                    <xdr:row>7</xdr:row>
                    <xdr:rowOff>0</xdr:rowOff>
                  </from>
                  <to>
                    <xdr:col>18</xdr:col>
                    <xdr:colOff>236220</xdr:colOff>
                    <xdr:row>8</xdr:row>
                    <xdr:rowOff>7620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45720</xdr:colOff>
                    <xdr:row>8</xdr:row>
                    <xdr:rowOff>0</xdr:rowOff>
                  </from>
                  <to>
                    <xdr:col>18</xdr:col>
                    <xdr:colOff>236220</xdr:colOff>
                    <xdr:row>9</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45720</xdr:colOff>
                    <xdr:row>9</xdr:row>
                    <xdr:rowOff>0</xdr:rowOff>
                  </from>
                  <to>
                    <xdr:col>18</xdr:col>
                    <xdr:colOff>236220</xdr:colOff>
                    <xdr:row>10</xdr:row>
                    <xdr:rowOff>7620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45720</xdr:colOff>
                    <xdr:row>10</xdr:row>
                    <xdr:rowOff>0</xdr:rowOff>
                  </from>
                  <to>
                    <xdr:col>18</xdr:col>
                    <xdr:colOff>236220</xdr:colOff>
                    <xdr:row>11</xdr:row>
                    <xdr:rowOff>7620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45720</xdr:colOff>
                    <xdr:row>11</xdr:row>
                    <xdr:rowOff>0</xdr:rowOff>
                  </from>
                  <to>
                    <xdr:col>18</xdr:col>
                    <xdr:colOff>236220</xdr:colOff>
                    <xdr:row>12</xdr:row>
                    <xdr:rowOff>7620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45720</xdr:colOff>
                    <xdr:row>12</xdr:row>
                    <xdr:rowOff>0</xdr:rowOff>
                  </from>
                  <to>
                    <xdr:col>18</xdr:col>
                    <xdr:colOff>236220</xdr:colOff>
                    <xdr:row>13</xdr:row>
                    <xdr:rowOff>7620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45720</xdr:colOff>
                    <xdr:row>13</xdr:row>
                    <xdr:rowOff>0</xdr:rowOff>
                  </from>
                  <to>
                    <xdr:col>18</xdr:col>
                    <xdr:colOff>236220</xdr:colOff>
                    <xdr:row>14</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45720</xdr:colOff>
                    <xdr:row>14</xdr:row>
                    <xdr:rowOff>0</xdr:rowOff>
                  </from>
                  <to>
                    <xdr:col>18</xdr:col>
                    <xdr:colOff>236220</xdr:colOff>
                    <xdr:row>15</xdr:row>
                    <xdr:rowOff>7620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45720</xdr:colOff>
                    <xdr:row>15</xdr:row>
                    <xdr:rowOff>0</xdr:rowOff>
                  </from>
                  <to>
                    <xdr:col>18</xdr:col>
                    <xdr:colOff>236220</xdr:colOff>
                    <xdr:row>16</xdr:row>
                    <xdr:rowOff>7620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45720</xdr:colOff>
                    <xdr:row>16</xdr:row>
                    <xdr:rowOff>0</xdr:rowOff>
                  </from>
                  <to>
                    <xdr:col>18</xdr:col>
                    <xdr:colOff>236220</xdr:colOff>
                    <xdr:row>17</xdr:row>
                    <xdr:rowOff>7620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45720</xdr:colOff>
                    <xdr:row>17</xdr:row>
                    <xdr:rowOff>0</xdr:rowOff>
                  </from>
                  <to>
                    <xdr:col>18</xdr:col>
                    <xdr:colOff>236220</xdr:colOff>
                    <xdr:row>18</xdr:row>
                    <xdr:rowOff>7620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45720</xdr:colOff>
                    <xdr:row>18</xdr:row>
                    <xdr:rowOff>0</xdr:rowOff>
                  </from>
                  <to>
                    <xdr:col>18</xdr:col>
                    <xdr:colOff>236220</xdr:colOff>
                    <xdr:row>19</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45720</xdr:colOff>
                    <xdr:row>19</xdr:row>
                    <xdr:rowOff>0</xdr:rowOff>
                  </from>
                  <to>
                    <xdr:col>18</xdr:col>
                    <xdr:colOff>236220</xdr:colOff>
                    <xdr:row>20</xdr:row>
                    <xdr:rowOff>7620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45720</xdr:colOff>
                    <xdr:row>20</xdr:row>
                    <xdr:rowOff>0</xdr:rowOff>
                  </from>
                  <to>
                    <xdr:col>18</xdr:col>
                    <xdr:colOff>236220</xdr:colOff>
                    <xdr:row>21</xdr:row>
                    <xdr:rowOff>7620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45720</xdr:colOff>
                    <xdr:row>21</xdr:row>
                    <xdr:rowOff>0</xdr:rowOff>
                  </from>
                  <to>
                    <xdr:col>18</xdr:col>
                    <xdr:colOff>236220</xdr:colOff>
                    <xdr:row>22</xdr:row>
                    <xdr:rowOff>7620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45720</xdr:colOff>
                    <xdr:row>22</xdr:row>
                    <xdr:rowOff>0</xdr:rowOff>
                  </from>
                  <to>
                    <xdr:col>18</xdr:col>
                    <xdr:colOff>236220</xdr:colOff>
                    <xdr:row>23</xdr:row>
                    <xdr:rowOff>7620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45720</xdr:colOff>
                    <xdr:row>23</xdr:row>
                    <xdr:rowOff>0</xdr:rowOff>
                  </from>
                  <to>
                    <xdr:col>18</xdr:col>
                    <xdr:colOff>236220</xdr:colOff>
                    <xdr:row>24</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45720</xdr:colOff>
                    <xdr:row>24</xdr:row>
                    <xdr:rowOff>0</xdr:rowOff>
                  </from>
                  <to>
                    <xdr:col>18</xdr:col>
                    <xdr:colOff>236220</xdr:colOff>
                    <xdr:row>25</xdr:row>
                    <xdr:rowOff>7620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45720</xdr:colOff>
                    <xdr:row>25</xdr:row>
                    <xdr:rowOff>0</xdr:rowOff>
                  </from>
                  <to>
                    <xdr:col>18</xdr:col>
                    <xdr:colOff>236220</xdr:colOff>
                    <xdr:row>26</xdr:row>
                    <xdr:rowOff>7620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45720</xdr:colOff>
                    <xdr:row>26</xdr:row>
                    <xdr:rowOff>0</xdr:rowOff>
                  </from>
                  <to>
                    <xdr:col>18</xdr:col>
                    <xdr:colOff>236220</xdr:colOff>
                    <xdr:row>27</xdr:row>
                    <xdr:rowOff>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45720</xdr:colOff>
                    <xdr:row>27</xdr:row>
                    <xdr:rowOff>0</xdr:rowOff>
                  </from>
                  <to>
                    <xdr:col>18</xdr:col>
                    <xdr:colOff>236220</xdr:colOff>
                    <xdr:row>27</xdr:row>
                    <xdr:rowOff>175260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45720</xdr:colOff>
                    <xdr:row>28</xdr:row>
                    <xdr:rowOff>0</xdr:rowOff>
                  </from>
                  <to>
                    <xdr:col>18</xdr:col>
                    <xdr:colOff>236220</xdr:colOff>
                    <xdr:row>28</xdr:row>
                    <xdr:rowOff>175260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45720</xdr:colOff>
                    <xdr:row>29</xdr:row>
                    <xdr:rowOff>0</xdr:rowOff>
                  </from>
                  <to>
                    <xdr:col>18</xdr:col>
                    <xdr:colOff>236220</xdr:colOff>
                    <xdr:row>30</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45720</xdr:colOff>
                    <xdr:row>30</xdr:row>
                    <xdr:rowOff>0</xdr:rowOff>
                  </from>
                  <to>
                    <xdr:col>18</xdr:col>
                    <xdr:colOff>236220</xdr:colOff>
                    <xdr:row>31</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45720</xdr:colOff>
                    <xdr:row>31</xdr:row>
                    <xdr:rowOff>0</xdr:rowOff>
                  </from>
                  <to>
                    <xdr:col>18</xdr:col>
                    <xdr:colOff>236220</xdr:colOff>
                    <xdr:row>31</xdr:row>
                    <xdr:rowOff>175260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45720</xdr:colOff>
                    <xdr:row>32</xdr:row>
                    <xdr:rowOff>0</xdr:rowOff>
                  </from>
                  <to>
                    <xdr:col>18</xdr:col>
                    <xdr:colOff>236220</xdr:colOff>
                    <xdr:row>33</xdr:row>
                    <xdr:rowOff>7620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45720</xdr:colOff>
                    <xdr:row>33</xdr:row>
                    <xdr:rowOff>0</xdr:rowOff>
                  </from>
                  <to>
                    <xdr:col>18</xdr:col>
                    <xdr:colOff>236220</xdr:colOff>
                    <xdr:row>34</xdr:row>
                    <xdr:rowOff>7620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45720</xdr:colOff>
                    <xdr:row>34</xdr:row>
                    <xdr:rowOff>0</xdr:rowOff>
                  </from>
                  <to>
                    <xdr:col>18</xdr:col>
                    <xdr:colOff>236220</xdr:colOff>
                    <xdr:row>35</xdr:row>
                    <xdr:rowOff>7620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45720</xdr:colOff>
                    <xdr:row>35</xdr:row>
                    <xdr:rowOff>0</xdr:rowOff>
                  </from>
                  <to>
                    <xdr:col>18</xdr:col>
                    <xdr:colOff>236220</xdr:colOff>
                    <xdr:row>36</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3</xdr:row>
                    <xdr:rowOff>464820</xdr:rowOff>
                  </from>
                  <to>
                    <xdr:col>11</xdr:col>
                    <xdr:colOff>297180</xdr:colOff>
                    <xdr:row>5</xdr:row>
                    <xdr:rowOff>22860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4</xdr:row>
                    <xdr:rowOff>175260</xdr:rowOff>
                  </from>
                  <to>
                    <xdr:col>11</xdr:col>
                    <xdr:colOff>297180</xdr:colOff>
                    <xdr:row>6</xdr:row>
                    <xdr:rowOff>7620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5</xdr:row>
                    <xdr:rowOff>175260</xdr:rowOff>
                  </from>
                  <to>
                    <xdr:col>11</xdr:col>
                    <xdr:colOff>297180</xdr:colOff>
                    <xdr:row>7</xdr:row>
                    <xdr:rowOff>22860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6</xdr:row>
                    <xdr:rowOff>175260</xdr:rowOff>
                  </from>
                  <to>
                    <xdr:col>11</xdr:col>
                    <xdr:colOff>297180</xdr:colOff>
                    <xdr:row>8</xdr:row>
                    <xdr:rowOff>7620</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7</xdr:row>
                    <xdr:rowOff>175260</xdr:rowOff>
                  </from>
                  <to>
                    <xdr:col>11</xdr:col>
                    <xdr:colOff>297180</xdr:colOff>
                    <xdr:row>9</xdr:row>
                    <xdr:rowOff>7620</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8</xdr:row>
                    <xdr:rowOff>175260</xdr:rowOff>
                  </from>
                  <to>
                    <xdr:col>11</xdr:col>
                    <xdr:colOff>297180</xdr:colOff>
                    <xdr:row>10</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9</xdr:row>
                    <xdr:rowOff>160020</xdr:rowOff>
                  </from>
                  <to>
                    <xdr:col>11</xdr:col>
                    <xdr:colOff>297180</xdr:colOff>
                    <xdr:row>11</xdr:row>
                    <xdr:rowOff>7620</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10</xdr:row>
                    <xdr:rowOff>160020</xdr:rowOff>
                  </from>
                  <to>
                    <xdr:col>11</xdr:col>
                    <xdr:colOff>297180</xdr:colOff>
                    <xdr:row>12</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83820</xdr:colOff>
                    <xdr:row>11</xdr:row>
                    <xdr:rowOff>160020</xdr:rowOff>
                  </from>
                  <to>
                    <xdr:col>11</xdr:col>
                    <xdr:colOff>297180</xdr:colOff>
                    <xdr:row>13</xdr:row>
                    <xdr:rowOff>7620</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83820</xdr:colOff>
                    <xdr:row>12</xdr:row>
                    <xdr:rowOff>160020</xdr:rowOff>
                  </from>
                  <to>
                    <xdr:col>11</xdr:col>
                    <xdr:colOff>297180</xdr:colOff>
                    <xdr:row>14</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83820</xdr:colOff>
                    <xdr:row>13</xdr:row>
                    <xdr:rowOff>160020</xdr:rowOff>
                  </from>
                  <to>
                    <xdr:col>11</xdr:col>
                    <xdr:colOff>297180</xdr:colOff>
                    <xdr:row>15</xdr:row>
                    <xdr:rowOff>7620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83820</xdr:colOff>
                    <xdr:row>14</xdr:row>
                    <xdr:rowOff>160020</xdr:rowOff>
                  </from>
                  <to>
                    <xdr:col>11</xdr:col>
                    <xdr:colOff>297180</xdr:colOff>
                    <xdr:row>16</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83820</xdr:colOff>
                    <xdr:row>15</xdr:row>
                    <xdr:rowOff>160020</xdr:rowOff>
                  </from>
                  <to>
                    <xdr:col>11</xdr:col>
                    <xdr:colOff>297180</xdr:colOff>
                    <xdr:row>17</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83820</xdr:colOff>
                    <xdr:row>16</xdr:row>
                    <xdr:rowOff>160020</xdr:rowOff>
                  </from>
                  <to>
                    <xdr:col>11</xdr:col>
                    <xdr:colOff>297180</xdr:colOff>
                    <xdr:row>17</xdr:row>
                    <xdr:rowOff>182880</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83820</xdr:colOff>
                    <xdr:row>17</xdr:row>
                    <xdr:rowOff>152400</xdr:rowOff>
                  </from>
                  <to>
                    <xdr:col>11</xdr:col>
                    <xdr:colOff>297180</xdr:colOff>
                    <xdr:row>18</xdr:row>
                    <xdr:rowOff>182880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83820</xdr:colOff>
                    <xdr:row>18</xdr:row>
                    <xdr:rowOff>182880</xdr:rowOff>
                  </from>
                  <to>
                    <xdr:col>11</xdr:col>
                    <xdr:colOff>297180</xdr:colOff>
                    <xdr:row>20</xdr:row>
                    <xdr:rowOff>7620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83820</xdr:colOff>
                    <xdr:row>19</xdr:row>
                    <xdr:rowOff>160020</xdr:rowOff>
                  </from>
                  <to>
                    <xdr:col>11</xdr:col>
                    <xdr:colOff>297180</xdr:colOff>
                    <xdr:row>21</xdr:row>
                    <xdr:rowOff>7620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83820</xdr:colOff>
                    <xdr:row>20</xdr:row>
                    <xdr:rowOff>160020</xdr:rowOff>
                  </from>
                  <to>
                    <xdr:col>11</xdr:col>
                    <xdr:colOff>297180</xdr:colOff>
                    <xdr:row>22</xdr:row>
                    <xdr:rowOff>7620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83820</xdr:colOff>
                    <xdr:row>21</xdr:row>
                    <xdr:rowOff>160020</xdr:rowOff>
                  </from>
                  <to>
                    <xdr:col>11</xdr:col>
                    <xdr:colOff>297180</xdr:colOff>
                    <xdr:row>23</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83820</xdr:colOff>
                    <xdr:row>22</xdr:row>
                    <xdr:rowOff>160020</xdr:rowOff>
                  </from>
                  <to>
                    <xdr:col>11</xdr:col>
                    <xdr:colOff>297180</xdr:colOff>
                    <xdr:row>24</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83820</xdr:colOff>
                    <xdr:row>23</xdr:row>
                    <xdr:rowOff>182880</xdr:rowOff>
                  </from>
                  <to>
                    <xdr:col>11</xdr:col>
                    <xdr:colOff>304800</xdr:colOff>
                    <xdr:row>25</xdr:row>
                    <xdr:rowOff>7620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83820</xdr:colOff>
                    <xdr:row>24</xdr:row>
                    <xdr:rowOff>175260</xdr:rowOff>
                  </from>
                  <to>
                    <xdr:col>11</xdr:col>
                    <xdr:colOff>304800</xdr:colOff>
                    <xdr:row>26</xdr:row>
                    <xdr:rowOff>7620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83820</xdr:colOff>
                    <xdr:row>25</xdr:row>
                    <xdr:rowOff>160020</xdr:rowOff>
                  </from>
                  <to>
                    <xdr:col>11</xdr:col>
                    <xdr:colOff>304800</xdr:colOff>
                    <xdr:row>27</xdr:row>
                    <xdr:rowOff>7620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68580</xdr:colOff>
                    <xdr:row>3</xdr:row>
                    <xdr:rowOff>464820</xdr:rowOff>
                  </from>
                  <to>
                    <xdr:col>12</xdr:col>
                    <xdr:colOff>289560</xdr:colOff>
                    <xdr:row>5</xdr:row>
                    <xdr:rowOff>30480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68580</xdr:colOff>
                    <xdr:row>4</xdr:row>
                    <xdr:rowOff>182880</xdr:rowOff>
                  </from>
                  <to>
                    <xdr:col>12</xdr:col>
                    <xdr:colOff>289560</xdr:colOff>
                    <xdr:row>6</xdr:row>
                    <xdr:rowOff>22860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68580</xdr:colOff>
                    <xdr:row>5</xdr:row>
                    <xdr:rowOff>182880</xdr:rowOff>
                  </from>
                  <to>
                    <xdr:col>12</xdr:col>
                    <xdr:colOff>289560</xdr:colOff>
                    <xdr:row>7</xdr:row>
                    <xdr:rowOff>30480</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68580</xdr:colOff>
                    <xdr:row>6</xdr:row>
                    <xdr:rowOff>182880</xdr:rowOff>
                  </from>
                  <to>
                    <xdr:col>12</xdr:col>
                    <xdr:colOff>289560</xdr:colOff>
                    <xdr:row>8</xdr:row>
                    <xdr:rowOff>22860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68580</xdr:colOff>
                    <xdr:row>7</xdr:row>
                    <xdr:rowOff>182880</xdr:rowOff>
                  </from>
                  <to>
                    <xdr:col>12</xdr:col>
                    <xdr:colOff>289560</xdr:colOff>
                    <xdr:row>9</xdr:row>
                    <xdr:rowOff>7620</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68580</xdr:colOff>
                    <xdr:row>8</xdr:row>
                    <xdr:rowOff>182880</xdr:rowOff>
                  </from>
                  <to>
                    <xdr:col>12</xdr:col>
                    <xdr:colOff>289560</xdr:colOff>
                    <xdr:row>10</xdr:row>
                    <xdr:rowOff>7620</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68580</xdr:colOff>
                    <xdr:row>9</xdr:row>
                    <xdr:rowOff>160020</xdr:rowOff>
                  </from>
                  <to>
                    <xdr:col>12</xdr:col>
                    <xdr:colOff>289560</xdr:colOff>
                    <xdr:row>11</xdr:row>
                    <xdr:rowOff>7620</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68580</xdr:colOff>
                    <xdr:row>10</xdr:row>
                    <xdr:rowOff>160020</xdr:rowOff>
                  </from>
                  <to>
                    <xdr:col>12</xdr:col>
                    <xdr:colOff>289560</xdr:colOff>
                    <xdr:row>12</xdr:row>
                    <xdr:rowOff>7620</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68580</xdr:colOff>
                    <xdr:row>11</xdr:row>
                    <xdr:rowOff>175260</xdr:rowOff>
                  </from>
                  <to>
                    <xdr:col>12</xdr:col>
                    <xdr:colOff>297180</xdr:colOff>
                    <xdr:row>13</xdr:row>
                    <xdr:rowOff>22860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68580</xdr:colOff>
                    <xdr:row>12</xdr:row>
                    <xdr:rowOff>175260</xdr:rowOff>
                  </from>
                  <to>
                    <xdr:col>12</xdr:col>
                    <xdr:colOff>297180</xdr:colOff>
                    <xdr:row>14</xdr:row>
                    <xdr:rowOff>7620</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68580</xdr:colOff>
                    <xdr:row>13</xdr:row>
                    <xdr:rowOff>175260</xdr:rowOff>
                  </from>
                  <to>
                    <xdr:col>12</xdr:col>
                    <xdr:colOff>297180</xdr:colOff>
                    <xdr:row>15</xdr:row>
                    <xdr:rowOff>7620</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68580</xdr:colOff>
                    <xdr:row>14</xdr:row>
                    <xdr:rowOff>160020</xdr:rowOff>
                  </from>
                  <to>
                    <xdr:col>12</xdr:col>
                    <xdr:colOff>297180</xdr:colOff>
                    <xdr:row>16</xdr:row>
                    <xdr:rowOff>7620</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68580</xdr:colOff>
                    <xdr:row>15</xdr:row>
                    <xdr:rowOff>160020</xdr:rowOff>
                  </from>
                  <to>
                    <xdr:col>12</xdr:col>
                    <xdr:colOff>297180</xdr:colOff>
                    <xdr:row>17</xdr:row>
                    <xdr:rowOff>7620</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68580</xdr:colOff>
                    <xdr:row>16</xdr:row>
                    <xdr:rowOff>160020</xdr:rowOff>
                  </from>
                  <to>
                    <xdr:col>12</xdr:col>
                    <xdr:colOff>297180</xdr:colOff>
                    <xdr:row>18</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68580</xdr:colOff>
                    <xdr:row>17</xdr:row>
                    <xdr:rowOff>160020</xdr:rowOff>
                  </from>
                  <to>
                    <xdr:col>12</xdr:col>
                    <xdr:colOff>297180</xdr:colOff>
                    <xdr:row>19</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68580</xdr:colOff>
                    <xdr:row>18</xdr:row>
                    <xdr:rowOff>182880</xdr:rowOff>
                  </from>
                  <to>
                    <xdr:col>12</xdr:col>
                    <xdr:colOff>297180</xdr:colOff>
                    <xdr:row>20</xdr:row>
                    <xdr:rowOff>22860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68580</xdr:colOff>
                    <xdr:row>19</xdr:row>
                    <xdr:rowOff>175260</xdr:rowOff>
                  </from>
                  <to>
                    <xdr:col>12</xdr:col>
                    <xdr:colOff>297180</xdr:colOff>
                    <xdr:row>21</xdr:row>
                    <xdr:rowOff>7620</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68580</xdr:colOff>
                    <xdr:row>20</xdr:row>
                    <xdr:rowOff>175260</xdr:rowOff>
                  </from>
                  <to>
                    <xdr:col>12</xdr:col>
                    <xdr:colOff>297180</xdr:colOff>
                    <xdr:row>22</xdr:row>
                    <xdr:rowOff>7620</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68580</xdr:colOff>
                    <xdr:row>21</xdr:row>
                    <xdr:rowOff>175260</xdr:rowOff>
                  </from>
                  <to>
                    <xdr:col>12</xdr:col>
                    <xdr:colOff>297180</xdr:colOff>
                    <xdr:row>23</xdr:row>
                    <xdr:rowOff>7620</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68580</xdr:colOff>
                    <xdr:row>22</xdr:row>
                    <xdr:rowOff>160020</xdr:rowOff>
                  </from>
                  <to>
                    <xdr:col>12</xdr:col>
                    <xdr:colOff>297180</xdr:colOff>
                    <xdr:row>24</xdr:row>
                    <xdr:rowOff>7620</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23</xdr:row>
                    <xdr:rowOff>190500</xdr:rowOff>
                  </from>
                  <to>
                    <xdr:col>12</xdr:col>
                    <xdr:colOff>297180</xdr:colOff>
                    <xdr:row>25</xdr:row>
                    <xdr:rowOff>22860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24</xdr:row>
                    <xdr:rowOff>182880</xdr:rowOff>
                  </from>
                  <to>
                    <xdr:col>12</xdr:col>
                    <xdr:colOff>297180</xdr:colOff>
                    <xdr:row>26</xdr:row>
                    <xdr:rowOff>7620</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25</xdr:row>
                    <xdr:rowOff>175260</xdr:rowOff>
                  </from>
                  <to>
                    <xdr:col>12</xdr:col>
                    <xdr:colOff>297180</xdr:colOff>
                    <xdr:row>27</xdr:row>
                    <xdr:rowOff>7620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68580</xdr:colOff>
                    <xdr:row>27</xdr:row>
                    <xdr:rowOff>0</xdr:rowOff>
                  </from>
                  <to>
                    <xdr:col>11</xdr:col>
                    <xdr:colOff>274320</xdr:colOff>
                    <xdr:row>28</xdr:row>
                    <xdr:rowOff>22860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68580</xdr:colOff>
                    <xdr:row>27</xdr:row>
                    <xdr:rowOff>175260</xdr:rowOff>
                  </from>
                  <to>
                    <xdr:col>11</xdr:col>
                    <xdr:colOff>274320</xdr:colOff>
                    <xdr:row>28</xdr:row>
                    <xdr:rowOff>175260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68580</xdr:colOff>
                    <xdr:row>28</xdr:row>
                    <xdr:rowOff>175260</xdr:rowOff>
                  </from>
                  <to>
                    <xdr:col>11</xdr:col>
                    <xdr:colOff>274320</xdr:colOff>
                    <xdr:row>29</xdr:row>
                    <xdr:rowOff>175260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68580</xdr:colOff>
                    <xdr:row>29</xdr:row>
                    <xdr:rowOff>175260</xdr:rowOff>
                  </from>
                  <to>
                    <xdr:col>11</xdr:col>
                    <xdr:colOff>274320</xdr:colOff>
                    <xdr:row>31</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68580</xdr:colOff>
                    <xdr:row>30</xdr:row>
                    <xdr:rowOff>160020</xdr:rowOff>
                  </from>
                  <to>
                    <xdr:col>11</xdr:col>
                    <xdr:colOff>274320</xdr:colOff>
                    <xdr:row>31</xdr:row>
                    <xdr:rowOff>175260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68580</xdr:colOff>
                    <xdr:row>27</xdr:row>
                    <xdr:rowOff>0</xdr:rowOff>
                  </from>
                  <to>
                    <xdr:col>12</xdr:col>
                    <xdr:colOff>289560</xdr:colOff>
                    <xdr:row>28</xdr:row>
                    <xdr:rowOff>7620</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68580</xdr:colOff>
                    <xdr:row>27</xdr:row>
                    <xdr:rowOff>160020</xdr:rowOff>
                  </from>
                  <to>
                    <xdr:col>12</xdr:col>
                    <xdr:colOff>289560</xdr:colOff>
                    <xdr:row>28</xdr:row>
                    <xdr:rowOff>175260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68580</xdr:colOff>
                    <xdr:row>28</xdr:row>
                    <xdr:rowOff>160020</xdr:rowOff>
                  </from>
                  <to>
                    <xdr:col>12</xdr:col>
                    <xdr:colOff>289560</xdr:colOff>
                    <xdr:row>29</xdr:row>
                    <xdr:rowOff>175260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68580</xdr:colOff>
                    <xdr:row>29</xdr:row>
                    <xdr:rowOff>160020</xdr:rowOff>
                  </from>
                  <to>
                    <xdr:col>12</xdr:col>
                    <xdr:colOff>289560</xdr:colOff>
                    <xdr:row>31</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68580</xdr:colOff>
                    <xdr:row>30</xdr:row>
                    <xdr:rowOff>160020</xdr:rowOff>
                  </from>
                  <to>
                    <xdr:col>12</xdr:col>
                    <xdr:colOff>289560</xdr:colOff>
                    <xdr:row>31</xdr:row>
                    <xdr:rowOff>175260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31</xdr:row>
                    <xdr:rowOff>182880</xdr:rowOff>
                  </from>
                  <to>
                    <xdr:col>11</xdr:col>
                    <xdr:colOff>297180</xdr:colOff>
                    <xdr:row>33</xdr:row>
                    <xdr:rowOff>22860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32</xdr:row>
                    <xdr:rowOff>175260</xdr:rowOff>
                  </from>
                  <to>
                    <xdr:col>11</xdr:col>
                    <xdr:colOff>297180</xdr:colOff>
                    <xdr:row>34</xdr:row>
                    <xdr:rowOff>7620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33</xdr:row>
                    <xdr:rowOff>175260</xdr:rowOff>
                  </from>
                  <to>
                    <xdr:col>11</xdr:col>
                    <xdr:colOff>297180</xdr:colOff>
                    <xdr:row>35</xdr:row>
                    <xdr:rowOff>7620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34</xdr:row>
                    <xdr:rowOff>175260</xdr:rowOff>
                  </from>
                  <to>
                    <xdr:col>11</xdr:col>
                    <xdr:colOff>297180</xdr:colOff>
                    <xdr:row>36</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31</xdr:row>
                    <xdr:rowOff>182880</xdr:rowOff>
                  </from>
                  <to>
                    <xdr:col>12</xdr:col>
                    <xdr:colOff>297180</xdr:colOff>
                    <xdr:row>33</xdr:row>
                    <xdr:rowOff>22860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32</xdr:row>
                    <xdr:rowOff>175260</xdr:rowOff>
                  </from>
                  <to>
                    <xdr:col>12</xdr:col>
                    <xdr:colOff>297180</xdr:colOff>
                    <xdr:row>34</xdr:row>
                    <xdr:rowOff>7620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33</xdr:row>
                    <xdr:rowOff>175260</xdr:rowOff>
                  </from>
                  <to>
                    <xdr:col>12</xdr:col>
                    <xdr:colOff>297180</xdr:colOff>
                    <xdr:row>35</xdr:row>
                    <xdr:rowOff>7620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34</xdr:row>
                    <xdr:rowOff>175260</xdr:rowOff>
                  </from>
                  <to>
                    <xdr:col>12</xdr:col>
                    <xdr:colOff>297180</xdr:colOff>
                    <xdr:row>36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37BB0D1A-72E5-47F8-A55C-C680791FA826}">
          <x14:formula1>
            <xm:f>INPUT_DATA!$A$2:$A$6</xm:f>
          </x14:formula1>
          <xm:sqref>F1</xm:sqref>
        </x14:dataValidation>
        <x14:dataValidation type="list" allowBlank="1" showInputMessage="1" showErrorMessage="1" xr:uid="{A3E2A955-07C8-46B6-8D67-648433272CDB}">
          <x14:formula1>
            <xm:f>INPUT_DATA!$A$6</xm:f>
          </x14:formula1>
          <xm:sqref>L28:M36</xm:sqref>
        </x14:dataValidation>
        <x14:dataValidation type="list" allowBlank="1" showInputMessage="1" showErrorMessage="1" xr:uid="{8997CB53-2E23-4B6E-BE63-0928008B07B8}">
          <x14:formula1>
            <xm:f>INPUT_DATA!$B$9:$B$44</xm:f>
          </x14:formula1>
          <xm:sqref>T5:T36</xm:sqref>
        </x14:dataValidation>
        <x14:dataValidation type="list" showInputMessage="1" showErrorMessage="1" xr:uid="{36FD6694-CD7A-4FA9-94EF-26058EF424F7}">
          <x14:formula1>
            <xm:f>INPUT_DATA!$C$9:$C$16</xm:f>
          </x14:formula1>
          <xm:sqref>D5:D36</xm:sqref>
        </x14:dataValidation>
        <x14:dataValidation type="list" errorStyle="warning" allowBlank="1" showInputMessage="1" showErrorMessage="1" errorTitle="Invalid Pilot" error="Pilot should be one of those in hidden sheet INPUT_DATA. Unhide the sheet and add the pilot name." xr:uid="{C72BB6D8-1EA0-4E3D-9E55-FC7DAC1ED597}">
          <x14:formula1>
            <xm:f>INPUT_DATA!A9:A200</xm:f>
          </x14:formula1>
          <xm:sqref>B5:B36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DA1E-CD32-492C-B734-142FE125A12E}">
  <sheetPr codeName="Sheet2"/>
  <dimension ref="B2:Y70"/>
  <sheetViews>
    <sheetView zoomScale="85" zoomScaleNormal="85" workbookViewId="0">
      <selection activeCell="U11" sqref="U11"/>
    </sheetView>
  </sheetViews>
  <sheetFormatPr defaultRowHeight="14.4" x14ac:dyDescent="0.3"/>
  <cols>
    <col min="2" max="2" width="4.6640625" customWidth="1"/>
    <col min="3" max="4" width="17.6640625" customWidth="1"/>
    <col min="5" max="5" width="9.5546875" customWidth="1"/>
    <col min="6" max="7" width="9.6640625" customWidth="1"/>
    <col min="8" max="14" width="5.6640625" customWidth="1"/>
    <col min="15" max="15" width="6.33203125" customWidth="1"/>
    <col min="16" max="24" width="5.6640625" customWidth="1"/>
  </cols>
  <sheetData>
    <row r="2" spans="2:25" ht="30" customHeight="1" x14ac:dyDescent="0.5">
      <c r="B2" s="70" t="s">
        <v>122</v>
      </c>
      <c r="C2" s="71"/>
      <c r="D2" s="71"/>
      <c r="E2" s="71"/>
      <c r="F2" s="57"/>
      <c r="G2" s="57"/>
      <c r="H2" s="57"/>
      <c r="I2" s="57"/>
      <c r="J2" s="57"/>
      <c r="K2" s="57"/>
      <c r="L2" s="57"/>
      <c r="M2" s="57"/>
      <c r="N2" s="57"/>
      <c r="O2" s="57"/>
      <c r="P2" s="57"/>
      <c r="Q2" s="57"/>
      <c r="R2" s="57"/>
      <c r="S2" s="57"/>
      <c r="T2" s="57"/>
      <c r="U2" s="57"/>
      <c r="V2" s="57"/>
      <c r="W2" s="253" t="s">
        <v>123</v>
      </c>
      <c r="X2" s="253"/>
      <c r="Y2" s="253"/>
    </row>
    <row r="3" spans="2:25" ht="27" customHeight="1" x14ac:dyDescent="0.4">
      <c r="B3" s="72"/>
      <c r="C3" s="71"/>
      <c r="D3" s="71"/>
      <c r="E3" s="71"/>
      <c r="F3" s="57"/>
      <c r="G3" s="57"/>
      <c r="H3" s="57"/>
      <c r="I3" s="57"/>
      <c r="J3" s="57"/>
      <c r="K3" s="57"/>
      <c r="L3" s="57"/>
      <c r="M3" s="57"/>
      <c r="N3" s="57"/>
      <c r="O3" s="57"/>
      <c r="P3" s="57"/>
      <c r="Q3" s="57"/>
      <c r="R3" s="57"/>
      <c r="S3" s="57"/>
      <c r="T3" s="57"/>
      <c r="U3" s="57"/>
      <c r="V3" s="57"/>
      <c r="W3" s="253"/>
      <c r="X3" s="253"/>
      <c r="Y3" s="253"/>
    </row>
    <row r="4" spans="2:25" x14ac:dyDescent="0.3">
      <c r="B4" s="57"/>
      <c r="C4" s="93"/>
      <c r="D4" s="93"/>
      <c r="E4" s="208"/>
      <c r="F4" s="208"/>
      <c r="G4" s="208"/>
      <c r="H4" s="208"/>
      <c r="I4" s="57"/>
      <c r="J4" s="208"/>
      <c r="K4" s="208"/>
      <c r="L4" s="208"/>
      <c r="M4" s="208"/>
      <c r="N4" s="208"/>
      <c r="O4" s="208"/>
      <c r="P4" s="208"/>
      <c r="Q4" s="57"/>
      <c r="R4" s="208"/>
      <c r="S4" s="208"/>
      <c r="T4" s="208"/>
      <c r="U4" s="208"/>
      <c r="V4" s="208"/>
      <c r="W4" s="253"/>
      <c r="X4" s="253"/>
      <c r="Y4" s="253"/>
    </row>
    <row r="5" spans="2:25" ht="18" x14ac:dyDescent="0.3">
      <c r="B5" s="57"/>
      <c r="C5" s="130" t="s">
        <v>138</v>
      </c>
      <c r="D5" s="209" t="s">
        <v>3</v>
      </c>
      <c r="E5" s="209"/>
      <c r="F5" s="175">
        <f>'2965D'!$F$1</f>
        <v>0</v>
      </c>
      <c r="G5" s="131"/>
      <c r="H5" s="209" t="s">
        <v>4</v>
      </c>
      <c r="I5" s="209"/>
      <c r="J5" s="209"/>
      <c r="K5" s="209"/>
      <c r="L5" s="175" t="str">
        <f>'2965D'!$L$1</f>
        <v/>
      </c>
      <c r="M5" s="132"/>
      <c r="N5" s="131"/>
      <c r="O5" s="209" t="s">
        <v>5</v>
      </c>
      <c r="P5" s="209"/>
      <c r="Q5" s="255">
        <f>'2965D'!$O$1</f>
        <v>0</v>
      </c>
      <c r="R5" s="255"/>
      <c r="S5" s="255"/>
      <c r="T5" s="176"/>
      <c r="U5" s="133"/>
      <c r="V5" s="133"/>
      <c r="W5" s="133"/>
      <c r="X5" s="134"/>
      <c r="Y5" s="134"/>
    </row>
    <row r="6" spans="2:25" ht="15" thickBot="1" x14ac:dyDescent="0.35">
      <c r="B6" s="57"/>
      <c r="C6" s="57"/>
      <c r="D6" s="57"/>
      <c r="E6" s="57"/>
      <c r="F6" s="57"/>
      <c r="G6" s="57"/>
      <c r="H6" s="57"/>
      <c r="I6" s="57"/>
      <c r="J6" s="57"/>
      <c r="K6" s="57"/>
      <c r="L6" s="57"/>
      <c r="M6" s="57"/>
      <c r="N6" s="57"/>
      <c r="O6" s="57"/>
      <c r="P6" s="57"/>
      <c r="Q6" s="57"/>
      <c r="R6" s="57"/>
      <c r="S6" s="57"/>
      <c r="T6" s="57"/>
      <c r="U6" s="57"/>
      <c r="V6" s="57"/>
      <c r="W6" s="57"/>
      <c r="X6" s="57"/>
      <c r="Y6" s="57"/>
    </row>
    <row r="7" spans="2:25" ht="15" customHeight="1" x14ac:dyDescent="0.3">
      <c r="B7" s="227" t="s">
        <v>124</v>
      </c>
      <c r="C7" s="227" t="s">
        <v>125</v>
      </c>
      <c r="D7" s="227" t="s">
        <v>126</v>
      </c>
      <c r="E7" s="244" t="s">
        <v>22</v>
      </c>
      <c r="F7" s="250" t="s">
        <v>127</v>
      </c>
      <c r="G7" s="227" t="s">
        <v>24</v>
      </c>
      <c r="H7" s="254" t="s">
        <v>7</v>
      </c>
      <c r="I7" s="231"/>
      <c r="J7" s="232"/>
      <c r="K7" s="223" t="s">
        <v>8</v>
      </c>
      <c r="L7" s="224"/>
      <c r="M7" s="223" t="s">
        <v>9</v>
      </c>
      <c r="N7" s="232"/>
      <c r="O7" s="227" t="s">
        <v>128</v>
      </c>
      <c r="P7" s="230" t="s">
        <v>129</v>
      </c>
      <c r="Q7" s="231"/>
      <c r="R7" s="231"/>
      <c r="S7" s="231"/>
      <c r="T7" s="231"/>
      <c r="U7" s="231"/>
      <c r="V7" s="232"/>
      <c r="W7" s="227" t="s">
        <v>130</v>
      </c>
      <c r="X7" s="244" t="s">
        <v>13</v>
      </c>
      <c r="Y7" s="237" t="s">
        <v>131</v>
      </c>
    </row>
    <row r="8" spans="2:25" x14ac:dyDescent="0.3">
      <c r="B8" s="245"/>
      <c r="C8" s="245"/>
      <c r="D8" s="245"/>
      <c r="E8" s="228"/>
      <c r="F8" s="251"/>
      <c r="G8" s="245"/>
      <c r="H8" s="78" t="s">
        <v>132</v>
      </c>
      <c r="I8" s="76" t="s">
        <v>16</v>
      </c>
      <c r="J8" s="79" t="s">
        <v>17</v>
      </c>
      <c r="K8" s="75" t="s">
        <v>18</v>
      </c>
      <c r="L8" s="77" t="s">
        <v>19</v>
      </c>
      <c r="M8" s="225"/>
      <c r="N8" s="235"/>
      <c r="O8" s="228"/>
      <c r="P8" s="233"/>
      <c r="Q8" s="234"/>
      <c r="R8" s="234"/>
      <c r="S8" s="234"/>
      <c r="T8" s="234"/>
      <c r="U8" s="234"/>
      <c r="V8" s="235"/>
      <c r="W8" s="228"/>
      <c r="X8" s="228"/>
      <c r="Y8" s="238"/>
    </row>
    <row r="9" spans="2:25" ht="15" thickBot="1" x14ac:dyDescent="0.35">
      <c r="B9" s="246"/>
      <c r="C9" s="246"/>
      <c r="D9" s="246"/>
      <c r="E9" s="229"/>
      <c r="F9" s="252"/>
      <c r="G9" s="246"/>
      <c r="H9" s="84" t="s">
        <v>25</v>
      </c>
      <c r="I9" s="82" t="s">
        <v>26</v>
      </c>
      <c r="J9" s="85" t="s">
        <v>27</v>
      </c>
      <c r="K9" s="81" t="s">
        <v>28</v>
      </c>
      <c r="L9" s="83" t="s">
        <v>29</v>
      </c>
      <c r="M9" s="81" t="s">
        <v>30</v>
      </c>
      <c r="N9" s="85" t="s">
        <v>31</v>
      </c>
      <c r="O9" s="229"/>
      <c r="P9" s="84">
        <v>1</v>
      </c>
      <c r="Q9" s="82">
        <v>2</v>
      </c>
      <c r="R9" s="82">
        <v>3</v>
      </c>
      <c r="S9" s="82">
        <v>4</v>
      </c>
      <c r="T9" s="82">
        <v>5</v>
      </c>
      <c r="U9" s="82">
        <v>6</v>
      </c>
      <c r="V9" s="85">
        <v>7</v>
      </c>
      <c r="W9" s="229"/>
      <c r="X9" s="229"/>
      <c r="Y9" s="239"/>
    </row>
    <row r="10" spans="2:25" ht="21.9" customHeight="1" x14ac:dyDescent="0.3">
      <c r="B10" s="73">
        <v>1</v>
      </c>
      <c r="C10" s="94">
        <f>'2965D'!B5</f>
        <v>0</v>
      </c>
      <c r="D10" s="94">
        <f>'2965D'!C5</f>
        <v>0</v>
      </c>
      <c r="E10" s="95">
        <f>'2965D'!D5</f>
        <v>0</v>
      </c>
      <c r="F10" s="96">
        <f>'2965D'!E5</f>
        <v>0</v>
      </c>
      <c r="G10" s="97">
        <f>'2965D'!F5</f>
        <v>0</v>
      </c>
      <c r="H10" s="98" t="str">
        <f>'2965D'!G5</f>
        <v/>
      </c>
      <c r="I10" s="99" t="str">
        <f>'2965D'!H5</f>
        <v/>
      </c>
      <c r="J10" s="116" t="str">
        <f>'2965D'!I5</f>
        <v/>
      </c>
      <c r="K10" s="101" t="str">
        <f>'2965D'!J5</f>
        <v/>
      </c>
      <c r="L10" s="100" t="str">
        <f>'2965D'!K5</f>
        <v/>
      </c>
      <c r="M10" s="135" t="str">
        <f>IF(FORMATTED!K2=TRUE,"ü","")</f>
        <v/>
      </c>
      <c r="N10" s="191" t="str">
        <f>IF(FORMATTED!L2=TRUE,"ü","")</f>
        <v/>
      </c>
      <c r="O10" s="157" t="str">
        <f>'2965D'!N5</f>
        <v/>
      </c>
      <c r="P10" s="98" t="str">
        <f>'2965D'!P5</f>
        <v/>
      </c>
      <c r="Q10" s="99"/>
      <c r="R10" s="99"/>
      <c r="S10" s="102"/>
      <c r="T10" s="102"/>
      <c r="U10" s="99" t="str">
        <f>'2965D'!Q5</f>
        <v/>
      </c>
      <c r="V10" s="99" t="str">
        <f>'2965D'!R5</f>
        <v/>
      </c>
      <c r="W10" s="103"/>
      <c r="X10" s="139" t="str">
        <f>IF(FORMATTED!H2=TRUE,"ü","")</f>
        <v/>
      </c>
      <c r="Y10" s="104"/>
    </row>
    <row r="11" spans="2:25" ht="21.9" customHeight="1" x14ac:dyDescent="0.3">
      <c r="B11" s="74">
        <v>2</v>
      </c>
      <c r="C11" s="105">
        <f>'2965D'!B6</f>
        <v>0</v>
      </c>
      <c r="D11" s="105">
        <f>'2965D'!C6</f>
        <v>0</v>
      </c>
      <c r="E11" s="106">
        <f>'2965D'!D6</f>
        <v>0</v>
      </c>
      <c r="F11" s="107">
        <f>'2965D'!E6</f>
        <v>0</v>
      </c>
      <c r="G11" s="108">
        <f>'2965D'!F6</f>
        <v>0</v>
      </c>
      <c r="H11" s="109" t="str">
        <f>'2965D'!G6</f>
        <v/>
      </c>
      <c r="I11" s="110" t="str">
        <f>'2965D'!H6</f>
        <v/>
      </c>
      <c r="J11" s="117" t="str">
        <f>'2965D'!I6</f>
        <v/>
      </c>
      <c r="K11" s="113" t="str">
        <f>'2965D'!J6</f>
        <v/>
      </c>
      <c r="L11" s="111" t="str">
        <f>'2965D'!K6</f>
        <v/>
      </c>
      <c r="M11" s="136" t="str">
        <f>IF(FORMATTED!K3=TRUE,"ü","")</f>
        <v/>
      </c>
      <c r="N11" s="190" t="str">
        <f>IF(FORMATTED!L3=TRUE,"ü","")</f>
        <v/>
      </c>
      <c r="O11" s="112" t="str">
        <f>'2965D'!N6</f>
        <v/>
      </c>
      <c r="P11" s="109" t="str">
        <f>'2965D'!P6</f>
        <v/>
      </c>
      <c r="Q11" s="110"/>
      <c r="R11" s="110"/>
      <c r="S11" s="114"/>
      <c r="T11" s="114"/>
      <c r="U11" s="110" t="str">
        <f>'2965D'!Q6</f>
        <v/>
      </c>
      <c r="V11" s="110" t="str">
        <f>'2965D'!R6</f>
        <v/>
      </c>
      <c r="W11" s="106"/>
      <c r="X11" s="138" t="str">
        <f>IF(FORMATTED!H3=TRUE,"ü","")</f>
        <v/>
      </c>
      <c r="Y11" s="115"/>
    </row>
    <row r="12" spans="2:25" ht="21.9" customHeight="1" x14ac:dyDescent="0.3">
      <c r="B12" s="74">
        <v>3</v>
      </c>
      <c r="C12" s="105">
        <f>'2965D'!B7</f>
        <v>0</v>
      </c>
      <c r="D12" s="105">
        <f>'2965D'!C7</f>
        <v>0</v>
      </c>
      <c r="E12" s="106">
        <f>'2965D'!D7</f>
        <v>0</v>
      </c>
      <c r="F12" s="107">
        <f>'2965D'!E7</f>
        <v>0</v>
      </c>
      <c r="G12" s="108">
        <f>'2965D'!F7</f>
        <v>0</v>
      </c>
      <c r="H12" s="109" t="str">
        <f>'2965D'!G7</f>
        <v/>
      </c>
      <c r="I12" s="110" t="str">
        <f>'2965D'!H7</f>
        <v/>
      </c>
      <c r="J12" s="117" t="str">
        <f>'2965D'!I7</f>
        <v/>
      </c>
      <c r="K12" s="113" t="str">
        <f>'2965D'!J7</f>
        <v/>
      </c>
      <c r="L12" s="111" t="str">
        <f>'2965D'!K7</f>
        <v/>
      </c>
      <c r="M12" s="136" t="str">
        <f>IF(FORMATTED!K4=TRUE,"ü","")</f>
        <v/>
      </c>
      <c r="N12" s="190" t="str">
        <f>IF(FORMATTED!L4=TRUE,"ü","")</f>
        <v/>
      </c>
      <c r="O12" s="112" t="str">
        <f>'2965D'!N7</f>
        <v/>
      </c>
      <c r="P12" s="109" t="str">
        <f>'2965D'!P7</f>
        <v/>
      </c>
      <c r="Q12" s="110"/>
      <c r="R12" s="110"/>
      <c r="S12" s="114"/>
      <c r="T12" s="114"/>
      <c r="U12" s="110" t="str">
        <f>'2965D'!Q7</f>
        <v/>
      </c>
      <c r="V12" s="110" t="str">
        <f>'2965D'!R7</f>
        <v/>
      </c>
      <c r="W12" s="106"/>
      <c r="X12" s="138" t="str">
        <f>IF(FORMATTED!H4=TRUE,"ü","")</f>
        <v/>
      </c>
      <c r="Y12" s="115"/>
    </row>
    <row r="13" spans="2:25" ht="21.9" customHeight="1" x14ac:dyDescent="0.3">
      <c r="B13" s="74">
        <v>4</v>
      </c>
      <c r="C13" s="105">
        <f>'2965D'!B8</f>
        <v>0</v>
      </c>
      <c r="D13" s="105">
        <f>'2965D'!C8</f>
        <v>0</v>
      </c>
      <c r="E13" s="106">
        <f>'2965D'!D8</f>
        <v>0</v>
      </c>
      <c r="F13" s="107">
        <f>'2965D'!E8</f>
        <v>0</v>
      </c>
      <c r="G13" s="108">
        <f>'2965D'!F8</f>
        <v>0</v>
      </c>
      <c r="H13" s="109" t="str">
        <f>'2965D'!G8</f>
        <v/>
      </c>
      <c r="I13" s="110" t="str">
        <f>'2965D'!H8</f>
        <v/>
      </c>
      <c r="J13" s="117" t="str">
        <f>'2965D'!I8</f>
        <v/>
      </c>
      <c r="K13" s="113" t="str">
        <f>'2965D'!J8</f>
        <v/>
      </c>
      <c r="L13" s="111" t="str">
        <f>'2965D'!K8</f>
        <v/>
      </c>
      <c r="M13" s="136" t="str">
        <f>IF(FORMATTED!K5=TRUE,"ü","")</f>
        <v/>
      </c>
      <c r="N13" s="190" t="str">
        <f>IF(FORMATTED!L5=TRUE,"ü","")</f>
        <v/>
      </c>
      <c r="O13" s="112" t="str">
        <f>'2965D'!N8</f>
        <v/>
      </c>
      <c r="P13" s="109" t="str">
        <f>'2965D'!P8</f>
        <v/>
      </c>
      <c r="Q13" s="110"/>
      <c r="R13" s="110"/>
      <c r="S13" s="114"/>
      <c r="T13" s="114"/>
      <c r="U13" s="110" t="str">
        <f>'2965D'!Q8</f>
        <v/>
      </c>
      <c r="V13" s="110" t="str">
        <f>'2965D'!R8</f>
        <v/>
      </c>
      <c r="W13" s="106"/>
      <c r="X13" s="138" t="str">
        <f>IF(FORMATTED!H5=TRUE,"ü","")</f>
        <v/>
      </c>
      <c r="Y13" s="115"/>
    </row>
    <row r="14" spans="2:25" ht="21.9" customHeight="1" x14ac:dyDescent="0.3">
      <c r="B14" s="74">
        <v>5</v>
      </c>
      <c r="C14" s="105">
        <f>'2965D'!B9</f>
        <v>0</v>
      </c>
      <c r="D14" s="105">
        <f>'2965D'!C9</f>
        <v>0</v>
      </c>
      <c r="E14" s="106">
        <f>'2965D'!D9</f>
        <v>0</v>
      </c>
      <c r="F14" s="107">
        <f>'2965D'!E9</f>
        <v>0</v>
      </c>
      <c r="G14" s="108">
        <f>'2965D'!F9</f>
        <v>0</v>
      </c>
      <c r="H14" s="109" t="str">
        <f>'2965D'!G9</f>
        <v/>
      </c>
      <c r="I14" s="110" t="str">
        <f>'2965D'!H9</f>
        <v/>
      </c>
      <c r="J14" s="117" t="str">
        <f>'2965D'!I9</f>
        <v/>
      </c>
      <c r="K14" s="113" t="str">
        <f>'2965D'!J9</f>
        <v/>
      </c>
      <c r="L14" s="111" t="str">
        <f>'2965D'!K9</f>
        <v/>
      </c>
      <c r="M14" s="136" t="str">
        <f>IF(FORMATTED!K6=TRUE,"ü","")</f>
        <v/>
      </c>
      <c r="N14" s="190" t="str">
        <f>IF(FORMATTED!L6=TRUE,"ü","")</f>
        <v/>
      </c>
      <c r="O14" s="112" t="str">
        <f>'2965D'!N9</f>
        <v/>
      </c>
      <c r="P14" s="109" t="str">
        <f>'2965D'!P9</f>
        <v/>
      </c>
      <c r="Q14" s="110"/>
      <c r="R14" s="110"/>
      <c r="S14" s="114"/>
      <c r="T14" s="114"/>
      <c r="U14" s="110" t="str">
        <f>'2965D'!Q9</f>
        <v/>
      </c>
      <c r="V14" s="110" t="str">
        <f>'2965D'!R9</f>
        <v/>
      </c>
      <c r="W14" s="106"/>
      <c r="X14" s="138" t="str">
        <f>IF(FORMATTED!H6=TRUE,"ü","")</f>
        <v/>
      </c>
      <c r="Y14" s="115"/>
    </row>
    <row r="15" spans="2:25" ht="21.9" customHeight="1" x14ac:dyDescent="0.3">
      <c r="B15" s="74">
        <v>6</v>
      </c>
      <c r="C15" s="105">
        <f>'2965D'!B10</f>
        <v>0</v>
      </c>
      <c r="D15" s="105">
        <f>'2965D'!C10</f>
        <v>0</v>
      </c>
      <c r="E15" s="106">
        <f>'2965D'!D10</f>
        <v>0</v>
      </c>
      <c r="F15" s="107">
        <f>'2965D'!E10</f>
        <v>0</v>
      </c>
      <c r="G15" s="108">
        <f>'2965D'!F10</f>
        <v>0</v>
      </c>
      <c r="H15" s="109" t="str">
        <f>'2965D'!G10</f>
        <v/>
      </c>
      <c r="I15" s="110" t="str">
        <f>'2965D'!H10</f>
        <v/>
      </c>
      <c r="J15" s="117" t="str">
        <f>'2965D'!I10</f>
        <v/>
      </c>
      <c r="K15" s="113" t="str">
        <f>'2965D'!J10</f>
        <v/>
      </c>
      <c r="L15" s="111" t="str">
        <f>'2965D'!K10</f>
        <v/>
      </c>
      <c r="M15" s="136" t="str">
        <f>IF(FORMATTED!K7=TRUE,"ü","")</f>
        <v/>
      </c>
      <c r="N15" s="190" t="str">
        <f>IF(FORMATTED!L7=TRUE,"ü","")</f>
        <v/>
      </c>
      <c r="O15" s="112" t="str">
        <f>'2965D'!N10</f>
        <v/>
      </c>
      <c r="P15" s="109" t="str">
        <f>'2965D'!P10</f>
        <v/>
      </c>
      <c r="Q15" s="110"/>
      <c r="R15" s="110"/>
      <c r="S15" s="114"/>
      <c r="T15" s="114"/>
      <c r="U15" s="110" t="str">
        <f>'2965D'!Q10</f>
        <v/>
      </c>
      <c r="V15" s="110" t="str">
        <f>'2965D'!R10</f>
        <v/>
      </c>
      <c r="W15" s="106"/>
      <c r="X15" s="138" t="str">
        <f>IF(FORMATTED!H7=TRUE,"ü","")</f>
        <v/>
      </c>
      <c r="Y15" s="115"/>
    </row>
    <row r="16" spans="2:25" ht="21.9" customHeight="1" x14ac:dyDescent="0.3">
      <c r="B16" s="74">
        <v>7</v>
      </c>
      <c r="C16" s="105">
        <f>'2965D'!B11</f>
        <v>0</v>
      </c>
      <c r="D16" s="105">
        <f>'2965D'!C11</f>
        <v>0</v>
      </c>
      <c r="E16" s="106">
        <f>'2965D'!D11</f>
        <v>0</v>
      </c>
      <c r="F16" s="107">
        <f>'2965D'!E11</f>
        <v>0</v>
      </c>
      <c r="G16" s="108">
        <f>'2965D'!F11</f>
        <v>0</v>
      </c>
      <c r="H16" s="109" t="str">
        <f>'2965D'!G11</f>
        <v/>
      </c>
      <c r="I16" s="110" t="str">
        <f>'2965D'!H11</f>
        <v/>
      </c>
      <c r="J16" s="117" t="str">
        <f>'2965D'!I11</f>
        <v/>
      </c>
      <c r="K16" s="113" t="str">
        <f>'2965D'!J11</f>
        <v/>
      </c>
      <c r="L16" s="111" t="str">
        <f>'2965D'!K11</f>
        <v/>
      </c>
      <c r="M16" s="136" t="str">
        <f>IF(FORMATTED!K8=TRUE,"ü","")</f>
        <v/>
      </c>
      <c r="N16" s="190" t="str">
        <f>IF(FORMATTED!L8=TRUE,"ü","")</f>
        <v/>
      </c>
      <c r="O16" s="112" t="str">
        <f>'2965D'!N11</f>
        <v/>
      </c>
      <c r="P16" s="109" t="str">
        <f>'2965D'!P11</f>
        <v/>
      </c>
      <c r="Q16" s="110"/>
      <c r="R16" s="110"/>
      <c r="S16" s="114"/>
      <c r="T16" s="114"/>
      <c r="U16" s="110" t="str">
        <f>'2965D'!Q11</f>
        <v/>
      </c>
      <c r="V16" s="110" t="str">
        <f>'2965D'!R11</f>
        <v/>
      </c>
      <c r="W16" s="106"/>
      <c r="X16" s="138" t="str">
        <f>IF(FORMATTED!H8=TRUE,"ü","")</f>
        <v/>
      </c>
      <c r="Y16" s="115"/>
    </row>
    <row r="17" spans="2:25" ht="21.9" customHeight="1" x14ac:dyDescent="0.3">
      <c r="B17" s="74">
        <v>8</v>
      </c>
      <c r="C17" s="105">
        <f>'2965D'!B12</f>
        <v>0</v>
      </c>
      <c r="D17" s="105">
        <f>'2965D'!C12</f>
        <v>0</v>
      </c>
      <c r="E17" s="106">
        <f>'2965D'!D12</f>
        <v>0</v>
      </c>
      <c r="F17" s="107">
        <f>'2965D'!E12</f>
        <v>0</v>
      </c>
      <c r="G17" s="108">
        <f>'2965D'!F12</f>
        <v>0</v>
      </c>
      <c r="H17" s="109" t="str">
        <f>'2965D'!G12</f>
        <v/>
      </c>
      <c r="I17" s="110" t="str">
        <f>'2965D'!H12</f>
        <v/>
      </c>
      <c r="J17" s="117" t="str">
        <f>'2965D'!I12</f>
        <v/>
      </c>
      <c r="K17" s="113" t="str">
        <f>'2965D'!J12</f>
        <v/>
      </c>
      <c r="L17" s="111" t="str">
        <f>'2965D'!K12</f>
        <v/>
      </c>
      <c r="M17" s="136" t="str">
        <f>IF(FORMATTED!K9=TRUE,"ü","")</f>
        <v/>
      </c>
      <c r="N17" s="190" t="str">
        <f>IF(FORMATTED!L9=TRUE,"ü","")</f>
        <v/>
      </c>
      <c r="O17" s="112" t="str">
        <f>'2965D'!N12</f>
        <v/>
      </c>
      <c r="P17" s="109" t="str">
        <f>'2965D'!P12</f>
        <v/>
      </c>
      <c r="Q17" s="110"/>
      <c r="R17" s="110"/>
      <c r="S17" s="114"/>
      <c r="T17" s="114"/>
      <c r="U17" s="110" t="str">
        <f>'2965D'!Q12</f>
        <v/>
      </c>
      <c r="V17" s="110" t="str">
        <f>'2965D'!R12</f>
        <v/>
      </c>
      <c r="W17" s="106"/>
      <c r="X17" s="138" t="str">
        <f>IF(FORMATTED!H9=TRUE,"ü","")</f>
        <v/>
      </c>
      <c r="Y17" s="115"/>
    </row>
    <row r="18" spans="2:25" ht="21.9" customHeight="1" x14ac:dyDescent="0.3">
      <c r="B18" s="74">
        <v>9</v>
      </c>
      <c r="C18" s="105">
        <f>'2965D'!B13</f>
        <v>0</v>
      </c>
      <c r="D18" s="105">
        <f>'2965D'!C13</f>
        <v>0</v>
      </c>
      <c r="E18" s="106">
        <f>'2965D'!D13</f>
        <v>0</v>
      </c>
      <c r="F18" s="107">
        <f>'2965D'!E13</f>
        <v>0</v>
      </c>
      <c r="G18" s="108">
        <f>'2965D'!F13</f>
        <v>0</v>
      </c>
      <c r="H18" s="109" t="str">
        <f>'2965D'!G13</f>
        <v/>
      </c>
      <c r="I18" s="110" t="str">
        <f>'2965D'!H13</f>
        <v/>
      </c>
      <c r="J18" s="117" t="str">
        <f>'2965D'!I13</f>
        <v/>
      </c>
      <c r="K18" s="113" t="str">
        <f>'2965D'!J13</f>
        <v/>
      </c>
      <c r="L18" s="111" t="str">
        <f>'2965D'!K13</f>
        <v/>
      </c>
      <c r="M18" s="136" t="str">
        <f>IF(FORMATTED!K10=TRUE,"ü","")</f>
        <v/>
      </c>
      <c r="N18" s="190" t="str">
        <f>IF(FORMATTED!L10=TRUE,"ü","")</f>
        <v/>
      </c>
      <c r="O18" s="112" t="str">
        <f>'2965D'!N13</f>
        <v/>
      </c>
      <c r="P18" s="109" t="str">
        <f>'2965D'!P13</f>
        <v/>
      </c>
      <c r="Q18" s="110"/>
      <c r="R18" s="110"/>
      <c r="S18" s="114"/>
      <c r="T18" s="114"/>
      <c r="U18" s="110" t="str">
        <f>'2965D'!Q13</f>
        <v/>
      </c>
      <c r="V18" s="110" t="str">
        <f>'2965D'!R13</f>
        <v/>
      </c>
      <c r="W18" s="106"/>
      <c r="X18" s="138" t="str">
        <f>IF(FORMATTED!H10=TRUE,"ü","")</f>
        <v/>
      </c>
      <c r="Y18" s="115"/>
    </row>
    <row r="19" spans="2:25" ht="21.9" customHeight="1" x14ac:dyDescent="0.3">
      <c r="B19" s="74">
        <v>10</v>
      </c>
      <c r="C19" s="105">
        <f>'2965D'!B14</f>
        <v>0</v>
      </c>
      <c r="D19" s="105">
        <f>'2965D'!C14</f>
        <v>0</v>
      </c>
      <c r="E19" s="106">
        <f>'2965D'!D14</f>
        <v>0</v>
      </c>
      <c r="F19" s="107">
        <f>'2965D'!E14</f>
        <v>0</v>
      </c>
      <c r="G19" s="108">
        <f>'2965D'!F14</f>
        <v>0</v>
      </c>
      <c r="H19" s="109" t="str">
        <f>'2965D'!G14</f>
        <v/>
      </c>
      <c r="I19" s="110" t="str">
        <f>'2965D'!H14</f>
        <v/>
      </c>
      <c r="J19" s="117" t="str">
        <f>'2965D'!I14</f>
        <v/>
      </c>
      <c r="K19" s="113" t="str">
        <f>'2965D'!J14</f>
        <v/>
      </c>
      <c r="L19" s="111" t="str">
        <f>'2965D'!K14</f>
        <v/>
      </c>
      <c r="M19" s="136" t="str">
        <f>IF(FORMATTED!K11=TRUE,"ü","")</f>
        <v/>
      </c>
      <c r="N19" s="190" t="str">
        <f>IF(FORMATTED!L11=TRUE,"ü","")</f>
        <v/>
      </c>
      <c r="O19" s="112" t="str">
        <f>'2965D'!N14</f>
        <v/>
      </c>
      <c r="P19" s="109" t="str">
        <f>'2965D'!P14</f>
        <v/>
      </c>
      <c r="Q19" s="110"/>
      <c r="R19" s="110"/>
      <c r="S19" s="114"/>
      <c r="T19" s="114"/>
      <c r="U19" s="110" t="str">
        <f>'2965D'!Q14</f>
        <v/>
      </c>
      <c r="V19" s="110" t="str">
        <f>'2965D'!R14</f>
        <v/>
      </c>
      <c r="W19" s="106"/>
      <c r="X19" s="138" t="str">
        <f>IF(FORMATTED!H11=TRUE,"ü","")</f>
        <v/>
      </c>
      <c r="Y19" s="115"/>
    </row>
    <row r="20" spans="2:25" ht="21.9" customHeight="1" x14ac:dyDescent="0.3">
      <c r="B20" s="74">
        <v>11</v>
      </c>
      <c r="C20" s="105">
        <f>'2965D'!B15</f>
        <v>0</v>
      </c>
      <c r="D20" s="105">
        <f>'2965D'!C15</f>
        <v>0</v>
      </c>
      <c r="E20" s="106">
        <f>'2965D'!D15</f>
        <v>0</v>
      </c>
      <c r="F20" s="107">
        <f>'2965D'!E15</f>
        <v>0</v>
      </c>
      <c r="G20" s="108">
        <f>'2965D'!F15</f>
        <v>0</v>
      </c>
      <c r="H20" s="109" t="str">
        <f>'2965D'!G15</f>
        <v/>
      </c>
      <c r="I20" s="110" t="str">
        <f>'2965D'!H15</f>
        <v/>
      </c>
      <c r="J20" s="117" t="str">
        <f>'2965D'!I15</f>
        <v/>
      </c>
      <c r="K20" s="113" t="str">
        <f>'2965D'!J15</f>
        <v/>
      </c>
      <c r="L20" s="111" t="str">
        <f>'2965D'!K15</f>
        <v/>
      </c>
      <c r="M20" s="136" t="str">
        <f>IF(FORMATTED!K12=TRUE,"ü","")</f>
        <v/>
      </c>
      <c r="N20" s="190" t="str">
        <f>IF(FORMATTED!L12=TRUE,"ü","")</f>
        <v/>
      </c>
      <c r="O20" s="193" t="str">
        <f>'2965D'!N15</f>
        <v/>
      </c>
      <c r="P20" s="109" t="str">
        <f>'2965D'!P15</f>
        <v/>
      </c>
      <c r="Q20" s="110"/>
      <c r="R20" s="110"/>
      <c r="S20" s="114"/>
      <c r="T20" s="114"/>
      <c r="U20" s="110" t="str">
        <f>'2965D'!Q15</f>
        <v/>
      </c>
      <c r="V20" s="110" t="str">
        <f>'2965D'!R15</f>
        <v/>
      </c>
      <c r="W20" s="106"/>
      <c r="X20" s="138" t="str">
        <f>IF(FORMATTED!H12=TRUE,"ü","")</f>
        <v/>
      </c>
      <c r="Y20" s="115"/>
    </row>
    <row r="21" spans="2:25" ht="21.9" customHeight="1" x14ac:dyDescent="0.3">
      <c r="B21" s="74">
        <v>12</v>
      </c>
      <c r="C21" s="105">
        <f>'2965D'!B16</f>
        <v>0</v>
      </c>
      <c r="D21" s="105">
        <f>'2965D'!C16</f>
        <v>0</v>
      </c>
      <c r="E21" s="106">
        <f>'2965D'!D16</f>
        <v>0</v>
      </c>
      <c r="F21" s="107">
        <f>'2965D'!E16</f>
        <v>0</v>
      </c>
      <c r="G21" s="108">
        <f>'2965D'!F16</f>
        <v>0</v>
      </c>
      <c r="H21" s="109" t="str">
        <f>'2965D'!G16</f>
        <v/>
      </c>
      <c r="I21" s="110" t="str">
        <f>'2965D'!H16</f>
        <v/>
      </c>
      <c r="J21" s="117" t="str">
        <f>'2965D'!I16</f>
        <v/>
      </c>
      <c r="K21" s="113" t="str">
        <f>'2965D'!J16</f>
        <v/>
      </c>
      <c r="L21" s="111" t="str">
        <f>'2965D'!K16</f>
        <v/>
      </c>
      <c r="M21" s="136" t="str">
        <f>IF(FORMATTED!K13=TRUE,"ü","")</f>
        <v/>
      </c>
      <c r="N21" s="190" t="str">
        <f>IF(FORMATTED!L13=TRUE,"ü","")</f>
        <v/>
      </c>
      <c r="O21" s="193" t="str">
        <f>'2965D'!N16</f>
        <v/>
      </c>
      <c r="P21" s="109" t="str">
        <f>'2965D'!P16</f>
        <v/>
      </c>
      <c r="Q21" s="110"/>
      <c r="R21" s="110"/>
      <c r="S21" s="114"/>
      <c r="T21" s="114"/>
      <c r="U21" s="110" t="str">
        <f>'2965D'!Q16</f>
        <v/>
      </c>
      <c r="V21" s="110" t="str">
        <f>'2965D'!R16</f>
        <v/>
      </c>
      <c r="W21" s="106"/>
      <c r="X21" s="138" t="str">
        <f>IF(FORMATTED!H13=TRUE,"ü","")</f>
        <v/>
      </c>
      <c r="Y21" s="115"/>
    </row>
    <row r="22" spans="2:25" ht="21.9" customHeight="1" x14ac:dyDescent="0.3">
      <c r="B22" s="74">
        <v>13</v>
      </c>
      <c r="C22" s="105">
        <f>'2965D'!B17</f>
        <v>0</v>
      </c>
      <c r="D22" s="105">
        <f>'2965D'!C17</f>
        <v>0</v>
      </c>
      <c r="E22" s="106">
        <f>'2965D'!D17</f>
        <v>0</v>
      </c>
      <c r="F22" s="107">
        <f>'2965D'!E17</f>
        <v>0</v>
      </c>
      <c r="G22" s="108">
        <f>'2965D'!F17</f>
        <v>0</v>
      </c>
      <c r="H22" s="109" t="str">
        <f>'2965D'!G17</f>
        <v/>
      </c>
      <c r="I22" s="110" t="str">
        <f>'2965D'!H17</f>
        <v/>
      </c>
      <c r="J22" s="117" t="str">
        <f>'2965D'!I17</f>
        <v/>
      </c>
      <c r="K22" s="113" t="str">
        <f>'2965D'!J17</f>
        <v/>
      </c>
      <c r="L22" s="111" t="str">
        <f>'2965D'!K17</f>
        <v/>
      </c>
      <c r="M22" s="136" t="str">
        <f>IF(FORMATTED!K14=TRUE,"ü","")</f>
        <v/>
      </c>
      <c r="N22" s="190" t="str">
        <f>IF(FORMATTED!L14=TRUE,"ü","")</f>
        <v/>
      </c>
      <c r="O22" s="193" t="str">
        <f>'2965D'!N17</f>
        <v/>
      </c>
      <c r="P22" s="109" t="str">
        <f>'2965D'!P17</f>
        <v/>
      </c>
      <c r="Q22" s="110"/>
      <c r="R22" s="110"/>
      <c r="S22" s="114"/>
      <c r="T22" s="114"/>
      <c r="U22" s="110" t="str">
        <f>'2965D'!Q17</f>
        <v/>
      </c>
      <c r="V22" s="110" t="str">
        <f>'2965D'!R17</f>
        <v/>
      </c>
      <c r="W22" s="106"/>
      <c r="X22" s="138" t="str">
        <f>IF(FORMATTED!H14=TRUE,"ü","")</f>
        <v/>
      </c>
      <c r="Y22" s="115"/>
    </row>
    <row r="23" spans="2:25" ht="21.9" customHeight="1" x14ac:dyDescent="0.3">
      <c r="B23" s="74">
        <v>14</v>
      </c>
      <c r="C23" s="105">
        <f>'2965D'!B18</f>
        <v>0</v>
      </c>
      <c r="D23" s="105">
        <f>'2965D'!C18</f>
        <v>0</v>
      </c>
      <c r="E23" s="106">
        <f>'2965D'!D18</f>
        <v>0</v>
      </c>
      <c r="F23" s="107">
        <f>'2965D'!E18</f>
        <v>0</v>
      </c>
      <c r="G23" s="108">
        <f>'2965D'!F18</f>
        <v>0</v>
      </c>
      <c r="H23" s="109" t="str">
        <f>'2965D'!G18</f>
        <v/>
      </c>
      <c r="I23" s="110" t="str">
        <f>'2965D'!H18</f>
        <v/>
      </c>
      <c r="J23" s="117" t="str">
        <f>'2965D'!I18</f>
        <v/>
      </c>
      <c r="K23" s="113" t="str">
        <f>'2965D'!J18</f>
        <v/>
      </c>
      <c r="L23" s="111" t="str">
        <f>'2965D'!K18</f>
        <v/>
      </c>
      <c r="M23" s="136" t="str">
        <f>IF(FORMATTED!K15=TRUE,"ü","")</f>
        <v/>
      </c>
      <c r="N23" s="190" t="str">
        <f>IF(FORMATTED!L15=TRUE,"ü","")</f>
        <v/>
      </c>
      <c r="O23" s="112" t="str">
        <f>'2965D'!N18</f>
        <v/>
      </c>
      <c r="P23" s="109" t="str">
        <f>'2965D'!P18</f>
        <v/>
      </c>
      <c r="Q23" s="110"/>
      <c r="R23" s="110"/>
      <c r="S23" s="114"/>
      <c r="T23" s="114"/>
      <c r="U23" s="110" t="str">
        <f>'2965D'!Q18</f>
        <v/>
      </c>
      <c r="V23" s="110" t="str">
        <f>'2965D'!R18</f>
        <v/>
      </c>
      <c r="W23" s="106"/>
      <c r="X23" s="138" t="str">
        <f>IF(FORMATTED!H15=TRUE,"ü","")</f>
        <v/>
      </c>
      <c r="Y23" s="115"/>
    </row>
    <row r="24" spans="2:25" ht="21.9" customHeight="1" x14ac:dyDescent="0.3">
      <c r="B24" s="74">
        <v>15</v>
      </c>
      <c r="C24" s="105">
        <f>'2965D'!B19</f>
        <v>0</v>
      </c>
      <c r="D24" s="105">
        <f>'2965D'!C19</f>
        <v>0</v>
      </c>
      <c r="E24" s="106">
        <f>'2965D'!D19</f>
        <v>0</v>
      </c>
      <c r="F24" s="107">
        <f>'2965D'!E19</f>
        <v>0</v>
      </c>
      <c r="G24" s="108">
        <f>'2965D'!F19</f>
        <v>0</v>
      </c>
      <c r="H24" s="109" t="str">
        <f>'2965D'!G19</f>
        <v/>
      </c>
      <c r="I24" s="110" t="str">
        <f>'2965D'!H19</f>
        <v/>
      </c>
      <c r="J24" s="117" t="str">
        <f>'2965D'!I19</f>
        <v/>
      </c>
      <c r="K24" s="113" t="str">
        <f>'2965D'!J19</f>
        <v/>
      </c>
      <c r="L24" s="111" t="str">
        <f>'2965D'!K19</f>
        <v/>
      </c>
      <c r="M24" s="136" t="str">
        <f>IF(FORMATTED!K16=TRUE,"ü","")</f>
        <v/>
      </c>
      <c r="N24" s="190" t="str">
        <f>IF(FORMATTED!L16=TRUE,"ü","")</f>
        <v/>
      </c>
      <c r="O24" s="112" t="str">
        <f>'2965D'!N19</f>
        <v/>
      </c>
      <c r="P24" s="109" t="str">
        <f>'2965D'!P19</f>
        <v/>
      </c>
      <c r="Q24" s="110"/>
      <c r="R24" s="110"/>
      <c r="S24" s="114"/>
      <c r="T24" s="114"/>
      <c r="U24" s="110" t="str">
        <f>'2965D'!Q19</f>
        <v/>
      </c>
      <c r="V24" s="110" t="str">
        <f>'2965D'!R19</f>
        <v/>
      </c>
      <c r="W24" s="106"/>
      <c r="X24" s="138" t="str">
        <f>IF(FORMATTED!H16=TRUE,"ü","")</f>
        <v/>
      </c>
      <c r="Y24" s="115"/>
    </row>
    <row r="25" spans="2:25" ht="21.9" customHeight="1" x14ac:dyDescent="0.3">
      <c r="B25" s="74">
        <v>16</v>
      </c>
      <c r="C25" s="105">
        <f>'2965D'!B20</f>
        <v>0</v>
      </c>
      <c r="D25" s="105">
        <f>'2965D'!C20</f>
        <v>0</v>
      </c>
      <c r="E25" s="106">
        <f>'2965D'!D20</f>
        <v>0</v>
      </c>
      <c r="F25" s="107">
        <f>'2965D'!E20</f>
        <v>0</v>
      </c>
      <c r="G25" s="108">
        <f>'2965D'!F20</f>
        <v>0</v>
      </c>
      <c r="H25" s="109" t="str">
        <f>'2965D'!G20</f>
        <v/>
      </c>
      <c r="I25" s="110" t="str">
        <f>'2965D'!H20</f>
        <v/>
      </c>
      <c r="J25" s="117" t="str">
        <f>'2965D'!I20</f>
        <v/>
      </c>
      <c r="K25" s="113" t="str">
        <f>'2965D'!J20</f>
        <v/>
      </c>
      <c r="L25" s="111" t="str">
        <f>'2965D'!K20</f>
        <v/>
      </c>
      <c r="M25" s="136" t="str">
        <f>IF(FORMATTED!K17=TRUE,"ü","")</f>
        <v/>
      </c>
      <c r="N25" s="190" t="str">
        <f>IF(FORMATTED!L17=TRUE,"ü","")</f>
        <v/>
      </c>
      <c r="O25" s="112" t="str">
        <f>'2965D'!N20</f>
        <v/>
      </c>
      <c r="P25" s="109" t="str">
        <f>'2965D'!P20</f>
        <v/>
      </c>
      <c r="Q25" s="110"/>
      <c r="R25" s="110"/>
      <c r="S25" s="114"/>
      <c r="T25" s="114"/>
      <c r="U25" s="110" t="str">
        <f>'2965D'!Q20</f>
        <v/>
      </c>
      <c r="V25" s="110" t="str">
        <f>'2965D'!R20</f>
        <v/>
      </c>
      <c r="W25" s="106"/>
      <c r="X25" s="138" t="str">
        <f>IF(FORMATTED!H17=TRUE,"ü","")</f>
        <v/>
      </c>
      <c r="Y25" s="115"/>
    </row>
    <row r="26" spans="2:25" ht="21.9" customHeight="1" x14ac:dyDescent="0.3">
      <c r="B26" s="74">
        <v>17</v>
      </c>
      <c r="C26" s="105">
        <f>'2965D'!B21</f>
        <v>0</v>
      </c>
      <c r="D26" s="105">
        <f>'2965D'!C21</f>
        <v>0</v>
      </c>
      <c r="E26" s="106">
        <f>'2965D'!D21</f>
        <v>0</v>
      </c>
      <c r="F26" s="107">
        <f>'2965D'!E21</f>
        <v>0</v>
      </c>
      <c r="G26" s="108">
        <f>'2965D'!F21</f>
        <v>0</v>
      </c>
      <c r="H26" s="109" t="str">
        <f>'2965D'!G21</f>
        <v/>
      </c>
      <c r="I26" s="110" t="str">
        <f>'2965D'!H21</f>
        <v/>
      </c>
      <c r="J26" s="117" t="str">
        <f>'2965D'!I21</f>
        <v/>
      </c>
      <c r="K26" s="113" t="str">
        <f>'2965D'!J21</f>
        <v/>
      </c>
      <c r="L26" s="111" t="str">
        <f>'2965D'!K21</f>
        <v/>
      </c>
      <c r="M26" s="136" t="str">
        <f>IF(FORMATTED!K18=TRUE,"ü","")</f>
        <v/>
      </c>
      <c r="N26" s="190" t="str">
        <f>IF(FORMATTED!L18=TRUE,"ü","")</f>
        <v/>
      </c>
      <c r="O26" s="112" t="str">
        <f>'2965D'!N21</f>
        <v/>
      </c>
      <c r="P26" s="109" t="str">
        <f>'2965D'!P21</f>
        <v/>
      </c>
      <c r="Q26" s="110"/>
      <c r="R26" s="110"/>
      <c r="S26" s="114"/>
      <c r="T26" s="114"/>
      <c r="U26" s="110" t="str">
        <f>'2965D'!Q21</f>
        <v/>
      </c>
      <c r="V26" s="110" t="str">
        <f>'2965D'!R21</f>
        <v/>
      </c>
      <c r="W26" s="106"/>
      <c r="X26" s="138" t="str">
        <f>IF(FORMATTED!H18=TRUE,"ü","")</f>
        <v/>
      </c>
      <c r="Y26" s="115"/>
    </row>
    <row r="27" spans="2:25" ht="21.9" customHeight="1" x14ac:dyDescent="0.3">
      <c r="B27" s="74">
        <v>18</v>
      </c>
      <c r="C27" s="105">
        <f>'2965D'!B22</f>
        <v>0</v>
      </c>
      <c r="D27" s="105">
        <f>'2965D'!C22</f>
        <v>0</v>
      </c>
      <c r="E27" s="106">
        <f>'2965D'!D22</f>
        <v>0</v>
      </c>
      <c r="F27" s="107">
        <f>'2965D'!E22</f>
        <v>0</v>
      </c>
      <c r="G27" s="108">
        <f>'2965D'!F22</f>
        <v>0</v>
      </c>
      <c r="H27" s="109" t="str">
        <f>'2965D'!G22</f>
        <v/>
      </c>
      <c r="I27" s="110" t="str">
        <f>'2965D'!H22</f>
        <v/>
      </c>
      <c r="J27" s="117" t="str">
        <f>'2965D'!I22</f>
        <v/>
      </c>
      <c r="K27" s="113" t="str">
        <f>'2965D'!J22</f>
        <v/>
      </c>
      <c r="L27" s="111" t="str">
        <f>'2965D'!K22</f>
        <v/>
      </c>
      <c r="M27" s="136" t="str">
        <f>IF(FORMATTED!K19=TRUE,"ü","")</f>
        <v/>
      </c>
      <c r="N27" s="190" t="str">
        <f>IF(FORMATTED!L19=TRUE,"ü","")</f>
        <v/>
      </c>
      <c r="O27" s="112" t="str">
        <f>'2965D'!N22</f>
        <v/>
      </c>
      <c r="P27" s="109" t="str">
        <f>'2965D'!P22</f>
        <v/>
      </c>
      <c r="Q27" s="110"/>
      <c r="R27" s="110"/>
      <c r="S27" s="114"/>
      <c r="T27" s="114"/>
      <c r="U27" s="110" t="str">
        <f>'2965D'!Q22</f>
        <v/>
      </c>
      <c r="V27" s="110" t="str">
        <f>'2965D'!R22</f>
        <v/>
      </c>
      <c r="W27" s="106"/>
      <c r="X27" s="138" t="str">
        <f>IF(FORMATTED!H19=TRUE,"ü","")</f>
        <v/>
      </c>
      <c r="Y27" s="115"/>
    </row>
    <row r="28" spans="2:25" ht="21.9" customHeight="1" x14ac:dyDescent="0.3">
      <c r="B28" s="74">
        <v>19</v>
      </c>
      <c r="C28" s="105">
        <f>'2965D'!B23</f>
        <v>0</v>
      </c>
      <c r="D28" s="105">
        <f>'2965D'!C23</f>
        <v>0</v>
      </c>
      <c r="E28" s="106">
        <f>'2965D'!D23</f>
        <v>0</v>
      </c>
      <c r="F28" s="107">
        <f>'2965D'!E23</f>
        <v>0</v>
      </c>
      <c r="G28" s="108">
        <f>'2965D'!F23</f>
        <v>0</v>
      </c>
      <c r="H28" s="109" t="str">
        <f>'2965D'!G23</f>
        <v/>
      </c>
      <c r="I28" s="110" t="str">
        <f>'2965D'!H23</f>
        <v/>
      </c>
      <c r="J28" s="117" t="str">
        <f>'2965D'!I23</f>
        <v/>
      </c>
      <c r="K28" s="113" t="str">
        <f>'2965D'!J23</f>
        <v/>
      </c>
      <c r="L28" s="111" t="str">
        <f>'2965D'!K23</f>
        <v/>
      </c>
      <c r="M28" s="136" t="str">
        <f>IF(FORMATTED!K20=TRUE,"ü","")</f>
        <v/>
      </c>
      <c r="N28" s="190" t="str">
        <f>IF(FORMATTED!L20=TRUE,"ü","")</f>
        <v/>
      </c>
      <c r="O28" s="112" t="str">
        <f>'2965D'!N23</f>
        <v/>
      </c>
      <c r="P28" s="109" t="str">
        <f>'2965D'!P23</f>
        <v/>
      </c>
      <c r="Q28" s="110"/>
      <c r="R28" s="110"/>
      <c r="S28" s="114"/>
      <c r="T28" s="114"/>
      <c r="U28" s="110" t="str">
        <f>'2965D'!Q23</f>
        <v/>
      </c>
      <c r="V28" s="110" t="str">
        <f>'2965D'!R23</f>
        <v/>
      </c>
      <c r="W28" s="106"/>
      <c r="X28" s="138" t="str">
        <f>IF(FORMATTED!H20=TRUE,"ü","")</f>
        <v/>
      </c>
      <c r="Y28" s="115"/>
    </row>
    <row r="29" spans="2:25" ht="21.9" customHeight="1" thickBot="1" x14ac:dyDescent="0.35">
      <c r="B29" s="80">
        <v>20</v>
      </c>
      <c r="C29" s="119">
        <f>'2965D'!B24</f>
        <v>0</v>
      </c>
      <c r="D29" s="119">
        <f>'2965D'!C24</f>
        <v>0</v>
      </c>
      <c r="E29" s="120">
        <f>'2965D'!D24</f>
        <v>0</v>
      </c>
      <c r="F29" s="121">
        <f>'2965D'!E24</f>
        <v>0</v>
      </c>
      <c r="G29" s="122">
        <f>'2965D'!F24</f>
        <v>0</v>
      </c>
      <c r="H29" s="123" t="str">
        <f>'2965D'!G24</f>
        <v/>
      </c>
      <c r="I29" s="124" t="str">
        <f>'2965D'!H24</f>
        <v/>
      </c>
      <c r="J29" s="125" t="str">
        <f>'2965D'!I24</f>
        <v/>
      </c>
      <c r="K29" s="126" t="str">
        <f>'2965D'!J24</f>
        <v/>
      </c>
      <c r="L29" s="127" t="str">
        <f>'2965D'!K24</f>
        <v/>
      </c>
      <c r="M29" s="141" t="str">
        <f>IF(FORMATTED!K21=TRUE,"ü","")</f>
        <v/>
      </c>
      <c r="N29" s="192" t="str">
        <f>IF(FORMATTED!L21=TRUE,"ü","")</f>
        <v/>
      </c>
      <c r="O29" s="128" t="str">
        <f>'2965D'!N24</f>
        <v/>
      </c>
      <c r="P29" s="123" t="str">
        <f>'2965D'!P24</f>
        <v/>
      </c>
      <c r="Q29" s="124"/>
      <c r="R29" s="124"/>
      <c r="S29" s="33"/>
      <c r="T29" s="33"/>
      <c r="U29" s="124" t="str">
        <f>'2965D'!Q24</f>
        <v/>
      </c>
      <c r="V29" s="124" t="str">
        <f>'2965D'!R24</f>
        <v/>
      </c>
      <c r="W29" s="120"/>
      <c r="X29" s="140" t="str">
        <f>IF(FORMATTED!H21=TRUE,"ü","")</f>
        <v/>
      </c>
      <c r="Y29" s="129"/>
    </row>
    <row r="30" spans="2:25" ht="24.9" customHeight="1" thickBot="1" x14ac:dyDescent="0.35">
      <c r="B30" s="216" t="s">
        <v>133</v>
      </c>
      <c r="C30" s="216"/>
      <c r="D30" s="216"/>
      <c r="E30" s="57"/>
      <c r="F30" s="248" t="s">
        <v>134</v>
      </c>
      <c r="G30" s="118" t="s">
        <v>32</v>
      </c>
      <c r="H30" s="160" t="str">
        <f t="shared" ref="H30" si="0">IF(COUNTBLANK(H10:H29)=20,"",SUM(H10:H29))</f>
        <v/>
      </c>
      <c r="I30" s="169" t="str">
        <f t="shared" ref="I30" si="1">IF(COUNTBLANK(I10:I29)=20,"",SUM(I10:I29))</f>
        <v/>
      </c>
      <c r="J30" s="170" t="str">
        <f t="shared" ref="J30" si="2">IF(COUNTBLANK(J10:J29)=20,"",SUM(J10:J29))</f>
        <v/>
      </c>
      <c r="K30" s="160" t="str">
        <f t="shared" ref="K30" si="3">IF(COUNTBLANK(K10:K29)=20,"",SUM(K10:K29))</f>
        <v/>
      </c>
      <c r="L30" s="170" t="str">
        <f t="shared" ref="L30" si="4">IF(COUNTBLANK(L10:L29)=20,"",SUM(L10:L29))</f>
        <v/>
      </c>
      <c r="M30" s="171"/>
      <c r="N30" s="171"/>
      <c r="O30" s="172" t="str">
        <f t="shared" ref="O30" si="5">IF(COUNTBLANK(O10:O29)=20,"",SUM(O10:O29))</f>
        <v/>
      </c>
      <c r="P30" s="173" t="str">
        <f t="shared" ref="P30" si="6">IF(COUNTBLANK(P10:P29)=20,"",SUM(P10:P29))</f>
        <v/>
      </c>
      <c r="Q30" s="169"/>
      <c r="R30" s="169"/>
      <c r="S30" s="169"/>
      <c r="T30" s="169"/>
      <c r="U30" s="169" t="str">
        <f>IF(COUNTBLANK(U10:U29)=20,"",SUM(U10:U29))</f>
        <v/>
      </c>
      <c r="V30" s="170" t="str">
        <f t="shared" ref="V30" si="7">IF(V10="","",SUM(V10:V29))</f>
        <v/>
      </c>
      <c r="W30" s="57"/>
      <c r="X30" s="57"/>
      <c r="Y30" s="57"/>
    </row>
    <row r="31" spans="2:25" ht="24.9" customHeight="1" thickBot="1" x14ac:dyDescent="0.35">
      <c r="B31" s="216"/>
      <c r="C31" s="216"/>
      <c r="D31" s="216"/>
      <c r="E31" s="57"/>
      <c r="F31" s="249"/>
      <c r="G31" s="86" t="s">
        <v>33</v>
      </c>
      <c r="H31" s="159" t="str">
        <f t="shared" ref="H31:O31" si="8">IF(COUNTBLANK(H10:H29)=20,"",20-COUNTBLANK(H10:H29))</f>
        <v/>
      </c>
      <c r="I31" s="167" t="str">
        <f t="shared" si="8"/>
        <v/>
      </c>
      <c r="J31" s="168" t="str">
        <f t="shared" si="8"/>
        <v/>
      </c>
      <c r="K31" s="159" t="str">
        <f t="shared" si="8"/>
        <v/>
      </c>
      <c r="L31" s="168" t="str">
        <f t="shared" si="8"/>
        <v/>
      </c>
      <c r="M31" s="144"/>
      <c r="N31" s="144"/>
      <c r="O31" s="165" t="str">
        <f t="shared" si="8"/>
        <v/>
      </c>
      <c r="P31" s="166" t="str">
        <f>IF(COUNTBLANK(P10:P29)=20,"",20-COUNTBLANK(P10:P29))</f>
        <v/>
      </c>
      <c r="Q31" s="163"/>
      <c r="R31" s="163"/>
      <c r="S31" s="163"/>
      <c r="T31" s="163"/>
      <c r="U31" s="163" t="str">
        <f t="shared" ref="U31:V31" si="9">IF(COUNTBLANK(U10:U29)=20,"",20-COUNTBLANK(U10:U29))</f>
        <v/>
      </c>
      <c r="V31" s="164" t="str">
        <f t="shared" si="9"/>
        <v/>
      </c>
      <c r="W31" s="57"/>
      <c r="X31" s="57"/>
      <c r="Y31" s="57"/>
    </row>
    <row r="32" spans="2:25" x14ac:dyDescent="0.3">
      <c r="B32" s="216"/>
      <c r="C32" s="216"/>
      <c r="D32" s="216"/>
      <c r="E32" s="57"/>
      <c r="F32" s="57"/>
      <c r="G32" s="57"/>
      <c r="H32" s="57"/>
      <c r="I32" s="57"/>
      <c r="J32" s="57"/>
      <c r="K32" s="57"/>
      <c r="L32" s="57"/>
      <c r="M32" s="57"/>
      <c r="N32" s="57"/>
      <c r="O32" s="57"/>
      <c r="P32" s="57"/>
      <c r="Q32" s="57"/>
      <c r="R32" s="57"/>
      <c r="S32" s="57"/>
      <c r="T32" s="57"/>
      <c r="U32" s="57"/>
      <c r="V32" s="57"/>
      <c r="W32" s="57"/>
      <c r="X32" s="57"/>
      <c r="Y32" s="57"/>
    </row>
    <row r="33" spans="2:25" x14ac:dyDescent="0.3">
      <c r="B33" s="216"/>
      <c r="C33" s="216"/>
      <c r="D33" s="216"/>
      <c r="E33" s="57"/>
      <c r="F33" s="57"/>
      <c r="G33" s="57"/>
      <c r="H33" s="57"/>
      <c r="I33" s="57"/>
      <c r="J33" s="57"/>
      <c r="K33" s="57"/>
      <c r="L33" s="57"/>
      <c r="M33" s="57"/>
      <c r="N33" s="57"/>
      <c r="O33" s="57"/>
      <c r="P33" s="57"/>
      <c r="Q33" s="57"/>
      <c r="R33" s="57"/>
      <c r="S33" s="57"/>
      <c r="T33" s="57"/>
      <c r="U33" s="57"/>
      <c r="V33" s="57"/>
      <c r="W33" s="57"/>
      <c r="X33" s="57"/>
      <c r="Y33" s="57"/>
    </row>
    <row r="34" spans="2:25" x14ac:dyDescent="0.3">
      <c r="B34" s="216"/>
      <c r="C34" s="216"/>
      <c r="D34" s="216"/>
      <c r="E34" s="57"/>
      <c r="F34" s="57"/>
      <c r="G34" s="57"/>
      <c r="H34" s="57"/>
      <c r="I34" s="57"/>
      <c r="J34" s="57"/>
      <c r="K34" s="57"/>
      <c r="L34" s="57"/>
      <c r="M34" s="57"/>
      <c r="N34" s="57"/>
      <c r="O34" s="57"/>
      <c r="P34" s="57"/>
      <c r="Q34" s="57"/>
      <c r="R34" s="57"/>
      <c r="S34" s="57"/>
      <c r="T34" s="57"/>
      <c r="U34" s="57"/>
      <c r="V34" s="57"/>
      <c r="W34" s="57"/>
      <c r="X34" s="57"/>
      <c r="Y34" s="57"/>
    </row>
    <row r="35" spans="2:25" x14ac:dyDescent="0.3">
      <c r="B35" s="216"/>
      <c r="C35" s="216"/>
      <c r="D35" s="216"/>
      <c r="E35" s="57"/>
      <c r="F35" s="57"/>
      <c r="G35" s="57"/>
      <c r="H35" s="57"/>
      <c r="I35" s="57"/>
      <c r="J35" s="57"/>
      <c r="K35" s="57"/>
      <c r="L35" s="57"/>
      <c r="M35" s="57"/>
      <c r="N35" s="57"/>
      <c r="O35" s="57"/>
      <c r="P35" s="57"/>
      <c r="Q35" s="57"/>
      <c r="R35" s="57"/>
      <c r="S35" s="57"/>
      <c r="T35" s="57"/>
      <c r="U35" s="57"/>
      <c r="V35" s="57"/>
      <c r="W35" s="57"/>
      <c r="X35" s="57"/>
      <c r="Y35" s="57"/>
    </row>
    <row r="36" spans="2:25" x14ac:dyDescent="0.3">
      <c r="B36" s="216"/>
      <c r="C36" s="216"/>
      <c r="D36" s="216"/>
      <c r="E36" s="57"/>
      <c r="F36" s="57"/>
      <c r="G36" s="57"/>
      <c r="H36" s="57"/>
      <c r="I36" s="57"/>
      <c r="J36" s="57"/>
      <c r="K36" s="57"/>
      <c r="L36" s="57"/>
      <c r="M36" s="57"/>
      <c r="N36" s="57"/>
      <c r="O36" s="57"/>
      <c r="P36" s="57"/>
      <c r="Q36" s="57"/>
      <c r="R36" s="57"/>
      <c r="S36" s="57"/>
      <c r="T36" s="57"/>
      <c r="U36" s="57"/>
      <c r="V36" s="57"/>
      <c r="W36" s="57"/>
      <c r="X36" s="57"/>
      <c r="Y36" s="57"/>
    </row>
    <row r="37" spans="2:25" ht="6" customHeight="1" x14ac:dyDescent="0.3">
      <c r="B37" s="60"/>
      <c r="C37" s="60"/>
      <c r="D37" s="60"/>
    </row>
    <row r="38" spans="2:25" ht="7.2" customHeight="1" x14ac:dyDescent="0.3"/>
    <row r="39" spans="2:25" ht="18" customHeight="1" x14ac:dyDescent="0.35">
      <c r="B39" s="174"/>
      <c r="C39" s="177" t="s">
        <v>138</v>
      </c>
      <c r="D39" s="247" t="s">
        <v>3</v>
      </c>
      <c r="E39" s="247"/>
      <c r="F39" s="178">
        <f>'2965D'!$F$1</f>
        <v>0</v>
      </c>
      <c r="G39" s="179"/>
      <c r="H39" s="247" t="s">
        <v>4</v>
      </c>
      <c r="I39" s="247"/>
      <c r="J39" s="247"/>
      <c r="K39" s="247"/>
      <c r="L39" s="178" t="str">
        <f>'2965D'!$L$1</f>
        <v/>
      </c>
      <c r="M39" s="180"/>
      <c r="N39" s="179"/>
      <c r="O39" s="247" t="s">
        <v>5</v>
      </c>
      <c r="P39" s="247"/>
      <c r="Q39" s="236">
        <f>'2965D'!$O$1</f>
        <v>0</v>
      </c>
      <c r="R39" s="236"/>
      <c r="S39" s="236"/>
      <c r="T39" s="176"/>
      <c r="U39" s="174"/>
      <c r="V39" s="174"/>
      <c r="W39" s="174"/>
      <c r="X39" s="174"/>
      <c r="Y39" s="174"/>
    </row>
    <row r="40" spans="2:25" ht="15" thickBot="1" x14ac:dyDescent="0.35">
      <c r="B40" s="57"/>
      <c r="C40" s="57"/>
      <c r="D40" s="57"/>
      <c r="E40" s="57"/>
      <c r="F40" s="57"/>
      <c r="G40" s="57"/>
      <c r="H40" s="57"/>
      <c r="I40" s="57"/>
      <c r="J40" s="57"/>
      <c r="K40" s="57"/>
      <c r="L40" s="57"/>
      <c r="M40" s="57"/>
      <c r="N40" s="57"/>
      <c r="O40" s="57"/>
      <c r="P40" s="57"/>
      <c r="Q40" s="57"/>
      <c r="R40" s="57"/>
      <c r="S40" s="57"/>
      <c r="T40" s="57"/>
      <c r="U40" s="57"/>
      <c r="V40" s="57"/>
      <c r="W40" s="57"/>
      <c r="X40" s="57"/>
      <c r="Y40" s="57"/>
    </row>
    <row r="41" spans="2:25" x14ac:dyDescent="0.3">
      <c r="B41" s="227" t="s">
        <v>124</v>
      </c>
      <c r="C41" s="250" t="s">
        <v>125</v>
      </c>
      <c r="D41" s="227" t="s">
        <v>126</v>
      </c>
      <c r="E41" s="244" t="s">
        <v>22</v>
      </c>
      <c r="F41" s="250" t="s">
        <v>127</v>
      </c>
      <c r="G41" s="227" t="s">
        <v>24</v>
      </c>
      <c r="H41" s="223" t="s">
        <v>7</v>
      </c>
      <c r="I41" s="231"/>
      <c r="J41" s="224"/>
      <c r="K41" s="223" t="s">
        <v>8</v>
      </c>
      <c r="L41" s="224"/>
      <c r="M41" s="223" t="s">
        <v>9</v>
      </c>
      <c r="N41" s="224"/>
      <c r="O41" s="227" t="s">
        <v>128</v>
      </c>
      <c r="P41" s="230" t="s">
        <v>129</v>
      </c>
      <c r="Q41" s="231"/>
      <c r="R41" s="231"/>
      <c r="S41" s="231"/>
      <c r="T41" s="231"/>
      <c r="U41" s="231"/>
      <c r="V41" s="232"/>
      <c r="W41" s="227" t="s">
        <v>130</v>
      </c>
      <c r="X41" s="244" t="s">
        <v>13</v>
      </c>
      <c r="Y41" s="237" t="s">
        <v>131</v>
      </c>
    </row>
    <row r="42" spans="2:25" x14ac:dyDescent="0.3">
      <c r="B42" s="245"/>
      <c r="C42" s="251"/>
      <c r="D42" s="245"/>
      <c r="E42" s="228"/>
      <c r="F42" s="251"/>
      <c r="G42" s="245"/>
      <c r="H42" s="75" t="s">
        <v>132</v>
      </c>
      <c r="I42" s="76" t="s">
        <v>16</v>
      </c>
      <c r="J42" s="77" t="s">
        <v>17</v>
      </c>
      <c r="K42" s="75" t="s">
        <v>18</v>
      </c>
      <c r="L42" s="77" t="s">
        <v>19</v>
      </c>
      <c r="M42" s="225"/>
      <c r="N42" s="226"/>
      <c r="O42" s="228"/>
      <c r="P42" s="233"/>
      <c r="Q42" s="234"/>
      <c r="R42" s="234"/>
      <c r="S42" s="234"/>
      <c r="T42" s="234"/>
      <c r="U42" s="234"/>
      <c r="V42" s="235"/>
      <c r="W42" s="228"/>
      <c r="X42" s="228"/>
      <c r="Y42" s="238"/>
    </row>
    <row r="43" spans="2:25" ht="15" thickBot="1" x14ac:dyDescent="0.35">
      <c r="B43" s="246"/>
      <c r="C43" s="252"/>
      <c r="D43" s="246"/>
      <c r="E43" s="229"/>
      <c r="F43" s="252"/>
      <c r="G43" s="246"/>
      <c r="H43" s="81" t="s">
        <v>25</v>
      </c>
      <c r="I43" s="82" t="s">
        <v>26</v>
      </c>
      <c r="J43" s="83" t="s">
        <v>27</v>
      </c>
      <c r="K43" s="81" t="s">
        <v>28</v>
      </c>
      <c r="L43" s="83" t="s">
        <v>29</v>
      </c>
      <c r="M43" s="81" t="s">
        <v>30</v>
      </c>
      <c r="N43" s="83" t="s">
        <v>31</v>
      </c>
      <c r="O43" s="229"/>
      <c r="P43" s="84">
        <v>1</v>
      </c>
      <c r="Q43" s="82">
        <v>2</v>
      </c>
      <c r="R43" s="82">
        <v>3</v>
      </c>
      <c r="S43" s="82">
        <v>4</v>
      </c>
      <c r="T43" s="82">
        <v>5</v>
      </c>
      <c r="U43" s="82">
        <v>6</v>
      </c>
      <c r="V43" s="85">
        <v>7</v>
      </c>
      <c r="W43" s="229"/>
      <c r="X43" s="229"/>
      <c r="Y43" s="239"/>
    </row>
    <row r="44" spans="2:25" ht="24.9" customHeight="1" thickBot="1" x14ac:dyDescent="0.35">
      <c r="B44" s="240" t="s">
        <v>34</v>
      </c>
      <c r="C44" s="240"/>
      <c r="D44" s="240"/>
      <c r="E44" s="240"/>
      <c r="F44" s="240"/>
      <c r="G44" s="87" t="s">
        <v>32</v>
      </c>
      <c r="H44" s="160" t="str">
        <f t="shared" ref="H44:L44" si="10">IF(H30="","",H30)</f>
        <v/>
      </c>
      <c r="I44" s="169" t="str">
        <f t="shared" si="10"/>
        <v/>
      </c>
      <c r="J44" s="170" t="str">
        <f t="shared" si="10"/>
        <v/>
      </c>
      <c r="K44" s="160" t="str">
        <f t="shared" si="10"/>
        <v/>
      </c>
      <c r="L44" s="170" t="str">
        <f t="shared" si="10"/>
        <v/>
      </c>
      <c r="M44" s="171"/>
      <c r="N44" s="171"/>
      <c r="O44" s="172" t="str">
        <f>IF(O30="","",O30)</f>
        <v/>
      </c>
      <c r="P44" s="173" t="str">
        <f t="shared" ref="P44:V44" si="11">IF(P30="","",P30)</f>
        <v/>
      </c>
      <c r="Q44" s="169" t="str">
        <f t="shared" si="11"/>
        <v/>
      </c>
      <c r="R44" s="169" t="str">
        <f t="shared" si="11"/>
        <v/>
      </c>
      <c r="S44" s="169" t="str">
        <f t="shared" si="11"/>
        <v/>
      </c>
      <c r="T44" s="169" t="str">
        <f t="shared" si="11"/>
        <v/>
      </c>
      <c r="U44" s="169" t="str">
        <f t="shared" si="11"/>
        <v/>
      </c>
      <c r="V44" s="170" t="str">
        <f t="shared" si="11"/>
        <v/>
      </c>
      <c r="W44" s="88"/>
      <c r="X44" s="88"/>
      <c r="Y44" s="88"/>
    </row>
    <row r="45" spans="2:25" ht="24.9" customHeight="1" thickBot="1" x14ac:dyDescent="0.35">
      <c r="B45" s="241"/>
      <c r="C45" s="241"/>
      <c r="D45" s="241"/>
      <c r="E45" s="241"/>
      <c r="F45" s="241"/>
      <c r="G45" s="89" t="s">
        <v>33</v>
      </c>
      <c r="H45" s="159" t="str">
        <f t="shared" ref="H45:L45" si="12">IF(H31="","",H31)</f>
        <v/>
      </c>
      <c r="I45" s="167" t="str">
        <f t="shared" si="12"/>
        <v/>
      </c>
      <c r="J45" s="168" t="str">
        <f t="shared" si="12"/>
        <v/>
      </c>
      <c r="K45" s="159" t="str">
        <f t="shared" si="12"/>
        <v/>
      </c>
      <c r="L45" s="168" t="str">
        <f t="shared" si="12"/>
        <v/>
      </c>
      <c r="M45" s="144"/>
      <c r="N45" s="144"/>
      <c r="O45" s="165" t="str">
        <f>IF(O31="","",O31)</f>
        <v/>
      </c>
      <c r="P45" s="166" t="str">
        <f t="shared" ref="P45:V45" si="13">IF(P31="","",P31)</f>
        <v/>
      </c>
      <c r="Q45" s="163" t="str">
        <f t="shared" si="13"/>
        <v/>
      </c>
      <c r="R45" s="163" t="str">
        <f t="shared" si="13"/>
        <v/>
      </c>
      <c r="S45" s="163" t="str">
        <f t="shared" si="13"/>
        <v/>
      </c>
      <c r="T45" s="163" t="str">
        <f t="shared" si="13"/>
        <v/>
      </c>
      <c r="U45" s="163" t="str">
        <f t="shared" si="13"/>
        <v/>
      </c>
      <c r="V45" s="164" t="str">
        <f t="shared" si="13"/>
        <v/>
      </c>
      <c r="W45" s="88"/>
      <c r="X45" s="88"/>
      <c r="Y45" s="88"/>
    </row>
    <row r="46" spans="2:25" ht="24.9" customHeight="1" x14ac:dyDescent="0.3">
      <c r="B46" s="73">
        <v>21</v>
      </c>
      <c r="C46" s="149">
        <f>'2965D'!B25</f>
        <v>0</v>
      </c>
      <c r="D46" s="149">
        <f>'2965D'!C25</f>
        <v>0</v>
      </c>
      <c r="E46" s="150">
        <f>'2965D'!D25</f>
        <v>0</v>
      </c>
      <c r="F46" s="151">
        <f>'2965D'!E25</f>
        <v>0</v>
      </c>
      <c r="G46" s="152">
        <f>'2965D'!F25</f>
        <v>0</v>
      </c>
      <c r="H46" s="153" t="str">
        <f>'2965D'!G25</f>
        <v/>
      </c>
      <c r="I46" s="146" t="str">
        <f>'2965D'!H25</f>
        <v/>
      </c>
      <c r="J46" s="154" t="str">
        <f>'2965D'!I25</f>
        <v/>
      </c>
      <c r="K46" s="145" t="str">
        <f>'2965D'!J25</f>
        <v/>
      </c>
      <c r="L46" s="148" t="str">
        <f>'2965D'!K25</f>
        <v/>
      </c>
      <c r="M46" s="155" t="str">
        <f>IF(FORMATTED!K22=TRUE,"ü","")</f>
        <v/>
      </c>
      <c r="N46" s="156" t="str">
        <f>IF(FORMATTED!L22=TRUE,"ü","")</f>
        <v/>
      </c>
      <c r="O46" s="157" t="str">
        <f>'2965D'!N25</f>
        <v/>
      </c>
      <c r="P46" s="145" t="str">
        <f>'2965D'!P25</f>
        <v/>
      </c>
      <c r="Q46" s="146"/>
      <c r="R46" s="146"/>
      <c r="S46" s="147"/>
      <c r="T46" s="147"/>
      <c r="U46" s="146" t="str">
        <f>'2965D'!Q25</f>
        <v/>
      </c>
      <c r="V46" s="148" t="str">
        <f>'2965D'!R25</f>
        <v/>
      </c>
      <c r="W46" s="150">
        <f>'2965D'!V25</f>
        <v>0</v>
      </c>
      <c r="X46" s="139" t="str">
        <f>IF(FORMATTED!H22=TRUE,"ü","")</f>
        <v/>
      </c>
      <c r="Y46" s="158"/>
    </row>
    <row r="47" spans="2:25" ht="24.9" customHeight="1" thickBot="1" x14ac:dyDescent="0.35">
      <c r="B47" s="74">
        <v>22</v>
      </c>
      <c r="C47" s="105">
        <f>'2965D'!B26</f>
        <v>0</v>
      </c>
      <c r="D47" s="105">
        <f>'2965D'!C26</f>
        <v>0</v>
      </c>
      <c r="E47" s="106">
        <f>'2965D'!D26</f>
        <v>0</v>
      </c>
      <c r="F47" s="107">
        <f>'2965D'!E26</f>
        <v>0</v>
      </c>
      <c r="G47" s="108">
        <f>'2965D'!F26</f>
        <v>0</v>
      </c>
      <c r="H47" s="109" t="str">
        <f>'2965D'!G26</f>
        <v/>
      </c>
      <c r="I47" s="110" t="str">
        <f>'2965D'!H26</f>
        <v/>
      </c>
      <c r="J47" s="117" t="str">
        <f>'2965D'!I26</f>
        <v/>
      </c>
      <c r="K47" s="113" t="str">
        <f>'2965D'!J26</f>
        <v/>
      </c>
      <c r="L47" s="111" t="str">
        <f>'2965D'!K26</f>
        <v/>
      </c>
      <c r="M47" s="136" t="str">
        <f>IF(FORMATTED!K23=TRUE,"ü","")</f>
        <v/>
      </c>
      <c r="N47" s="137" t="str">
        <f>IF(FORMATTED!L23=TRUE,"ü","")</f>
        <v/>
      </c>
      <c r="O47" s="112" t="str">
        <f>'2965D'!N26</f>
        <v/>
      </c>
      <c r="P47" s="113" t="str">
        <f>'2965D'!P26</f>
        <v/>
      </c>
      <c r="Q47" s="110"/>
      <c r="R47" s="110"/>
      <c r="S47" s="114"/>
      <c r="T47" s="114"/>
      <c r="U47" s="110" t="str">
        <f>'2965D'!Q26</f>
        <v/>
      </c>
      <c r="V47" s="111" t="str">
        <f>'2965D'!R26</f>
        <v/>
      </c>
      <c r="W47" s="106">
        <f>'2965D'!V26</f>
        <v>0</v>
      </c>
      <c r="X47" s="138" t="str">
        <f>IF(FORMATTED!H23=TRUE,"ü","")</f>
        <v/>
      </c>
      <c r="Y47" s="115"/>
    </row>
    <row r="48" spans="2:25" ht="24.9" customHeight="1" x14ac:dyDescent="0.3">
      <c r="B48" s="73">
        <v>23</v>
      </c>
      <c r="C48" s="105">
        <f>'2965D'!B27</f>
        <v>0</v>
      </c>
      <c r="D48" s="105">
        <f>'2965D'!C27</f>
        <v>0</v>
      </c>
      <c r="E48" s="106">
        <f>'2965D'!D27</f>
        <v>0</v>
      </c>
      <c r="F48" s="107">
        <f>'2965D'!E27</f>
        <v>0</v>
      </c>
      <c r="G48" s="108">
        <f>'2965D'!F27</f>
        <v>0</v>
      </c>
      <c r="H48" s="109" t="str">
        <f>'2965D'!G27</f>
        <v/>
      </c>
      <c r="I48" s="110" t="str">
        <f>'2965D'!H27</f>
        <v/>
      </c>
      <c r="J48" s="117" t="str">
        <f>'2965D'!I27</f>
        <v/>
      </c>
      <c r="K48" s="113" t="str">
        <f>'2965D'!J27</f>
        <v/>
      </c>
      <c r="L48" s="111" t="str">
        <f>'2965D'!K27</f>
        <v/>
      </c>
      <c r="M48" s="136" t="str">
        <f>IF(FORMATTED!K24=TRUE,"ü","")</f>
        <v/>
      </c>
      <c r="N48" s="137" t="str">
        <f>IF(FORMATTED!L24=TRUE,"ü","")</f>
        <v/>
      </c>
      <c r="O48" s="112" t="str">
        <f>'2965D'!N27</f>
        <v/>
      </c>
      <c r="P48" s="113" t="str">
        <f>'2965D'!P27</f>
        <v/>
      </c>
      <c r="Q48" s="110"/>
      <c r="R48" s="110"/>
      <c r="S48" s="114"/>
      <c r="T48" s="114"/>
      <c r="U48" s="110" t="str">
        <f>'2965D'!Q27</f>
        <v/>
      </c>
      <c r="V48" s="111" t="str">
        <f>'2965D'!R27</f>
        <v/>
      </c>
      <c r="W48" s="106">
        <f>'2965D'!V27</f>
        <v>0</v>
      </c>
      <c r="X48" s="138" t="str">
        <f>IF(FORMATTED!H24=TRUE,"ü","")</f>
        <v/>
      </c>
      <c r="Y48" s="115"/>
    </row>
    <row r="49" spans="2:25" ht="24.9" customHeight="1" thickBot="1" x14ac:dyDescent="0.35">
      <c r="B49" s="74">
        <v>24</v>
      </c>
      <c r="C49" s="105">
        <f>'2965D'!B28</f>
        <v>0</v>
      </c>
      <c r="D49" s="105">
        <f>'2965D'!C28</f>
        <v>0</v>
      </c>
      <c r="E49" s="106">
        <f>'2965D'!D28</f>
        <v>0</v>
      </c>
      <c r="F49" s="107">
        <f>'2965D'!E28</f>
        <v>0</v>
      </c>
      <c r="G49" s="108">
        <f>'2965D'!F28</f>
        <v>0</v>
      </c>
      <c r="H49" s="109" t="str">
        <f>'2965D'!G28</f>
        <v/>
      </c>
      <c r="I49" s="110" t="str">
        <f>'2965D'!H28</f>
        <v/>
      </c>
      <c r="J49" s="117" t="str">
        <f>'2965D'!I28</f>
        <v/>
      </c>
      <c r="K49" s="113" t="str">
        <f>'2965D'!J28</f>
        <v/>
      </c>
      <c r="L49" s="111" t="str">
        <f>'2965D'!K28</f>
        <v/>
      </c>
      <c r="M49" s="136" t="str">
        <f>IF(FORMATTED!K25=TRUE,"ü","")</f>
        <v/>
      </c>
      <c r="N49" s="137" t="str">
        <f>IF(FORMATTED!L25=TRUE,"ü","")</f>
        <v/>
      </c>
      <c r="O49" s="112" t="str">
        <f>'2965D'!N28</f>
        <v/>
      </c>
      <c r="P49" s="113" t="str">
        <f>'2965D'!P28</f>
        <v/>
      </c>
      <c r="Q49" s="110"/>
      <c r="R49" s="110"/>
      <c r="S49" s="114"/>
      <c r="T49" s="114"/>
      <c r="U49" s="110" t="str">
        <f>'2965D'!Q28</f>
        <v/>
      </c>
      <c r="V49" s="111" t="str">
        <f>'2965D'!R28</f>
        <v/>
      </c>
      <c r="W49" s="106">
        <f>'2965D'!V28</f>
        <v>0</v>
      </c>
      <c r="X49" s="138" t="str">
        <f>IF(FORMATTED!H25=TRUE,"ü","")</f>
        <v/>
      </c>
      <c r="Y49" s="115"/>
    </row>
    <row r="50" spans="2:25" ht="24.9" customHeight="1" x14ac:dyDescent="0.3">
      <c r="B50" s="73">
        <v>25</v>
      </c>
      <c r="C50" s="105">
        <f>'2965D'!B29</f>
        <v>0</v>
      </c>
      <c r="D50" s="105">
        <f>'2965D'!C29</f>
        <v>0</v>
      </c>
      <c r="E50" s="106">
        <f>'2965D'!D29</f>
        <v>0</v>
      </c>
      <c r="F50" s="107">
        <f>'2965D'!E29</f>
        <v>0</v>
      </c>
      <c r="G50" s="108">
        <f>'2965D'!F29</f>
        <v>0</v>
      </c>
      <c r="H50" s="109" t="str">
        <f>'2965D'!G29</f>
        <v/>
      </c>
      <c r="I50" s="110" t="str">
        <f>'2965D'!H29</f>
        <v/>
      </c>
      <c r="J50" s="117" t="str">
        <f>'2965D'!I29</f>
        <v/>
      </c>
      <c r="K50" s="113" t="str">
        <f>'2965D'!J29</f>
        <v/>
      </c>
      <c r="L50" s="111" t="str">
        <f>'2965D'!K29</f>
        <v/>
      </c>
      <c r="M50" s="136" t="str">
        <f>IF(FORMATTED!K26=TRUE,"ü","")</f>
        <v/>
      </c>
      <c r="N50" s="137" t="str">
        <f>IF(FORMATTED!L26=TRUE,"ü","")</f>
        <v/>
      </c>
      <c r="O50" s="112" t="str">
        <f>'2965D'!N29</f>
        <v/>
      </c>
      <c r="P50" s="113" t="str">
        <f>'2965D'!P29</f>
        <v/>
      </c>
      <c r="Q50" s="110"/>
      <c r="R50" s="110"/>
      <c r="S50" s="114"/>
      <c r="T50" s="114"/>
      <c r="U50" s="110" t="str">
        <f>'2965D'!Q29</f>
        <v/>
      </c>
      <c r="V50" s="111" t="str">
        <f>'2965D'!R29</f>
        <v/>
      </c>
      <c r="W50" s="106">
        <f>'2965D'!V29</f>
        <v>0</v>
      </c>
      <c r="X50" s="138" t="str">
        <f>IF(FORMATTED!H26=TRUE,"ü","")</f>
        <v/>
      </c>
      <c r="Y50" s="115"/>
    </row>
    <row r="51" spans="2:25" ht="24.9" customHeight="1" thickBot="1" x14ac:dyDescent="0.35">
      <c r="B51" s="74">
        <v>26</v>
      </c>
      <c r="C51" s="105">
        <f>'2965D'!B30</f>
        <v>0</v>
      </c>
      <c r="D51" s="105">
        <f>'2965D'!C30</f>
        <v>0</v>
      </c>
      <c r="E51" s="106">
        <f>'2965D'!D30</f>
        <v>0</v>
      </c>
      <c r="F51" s="107">
        <f>'2965D'!E30</f>
        <v>0</v>
      </c>
      <c r="G51" s="108">
        <f>'2965D'!F30</f>
        <v>0</v>
      </c>
      <c r="H51" s="109" t="str">
        <f>'2965D'!G30</f>
        <v/>
      </c>
      <c r="I51" s="110" t="str">
        <f>'2965D'!H30</f>
        <v/>
      </c>
      <c r="J51" s="117" t="str">
        <f>'2965D'!I30</f>
        <v/>
      </c>
      <c r="K51" s="113" t="str">
        <f>'2965D'!J30</f>
        <v/>
      </c>
      <c r="L51" s="111" t="str">
        <f>'2965D'!K30</f>
        <v/>
      </c>
      <c r="M51" s="136" t="str">
        <f>IF(FORMATTED!K27=TRUE,"ü","")</f>
        <v/>
      </c>
      <c r="N51" s="137" t="str">
        <f>IF(FORMATTED!L27=TRUE,"ü","")</f>
        <v/>
      </c>
      <c r="O51" s="112" t="str">
        <f>'2965D'!N30</f>
        <v/>
      </c>
      <c r="P51" s="113" t="str">
        <f>'2965D'!P30</f>
        <v/>
      </c>
      <c r="Q51" s="110"/>
      <c r="R51" s="110"/>
      <c r="S51" s="114"/>
      <c r="T51" s="114"/>
      <c r="U51" s="110" t="str">
        <f>'2965D'!Q30</f>
        <v/>
      </c>
      <c r="V51" s="111" t="str">
        <f>'2965D'!R30</f>
        <v/>
      </c>
      <c r="W51" s="106">
        <f>'2965D'!V30</f>
        <v>0</v>
      </c>
      <c r="X51" s="138" t="str">
        <f>IF(FORMATTED!H27=TRUE,"ü","")</f>
        <v/>
      </c>
      <c r="Y51" s="115"/>
    </row>
    <row r="52" spans="2:25" ht="24.9" customHeight="1" x14ac:dyDescent="0.3">
      <c r="B52" s="73">
        <v>27</v>
      </c>
      <c r="C52" s="105">
        <f>'2965D'!B31</f>
        <v>0</v>
      </c>
      <c r="D52" s="105">
        <f>'2965D'!C31</f>
        <v>0</v>
      </c>
      <c r="E52" s="106">
        <f>'2965D'!D31</f>
        <v>0</v>
      </c>
      <c r="F52" s="107">
        <f>'2965D'!E31</f>
        <v>0</v>
      </c>
      <c r="G52" s="108">
        <f>'2965D'!F31</f>
        <v>0</v>
      </c>
      <c r="H52" s="109" t="str">
        <f>'2965D'!G31</f>
        <v/>
      </c>
      <c r="I52" s="110" t="str">
        <f>'2965D'!H31</f>
        <v/>
      </c>
      <c r="J52" s="117" t="str">
        <f>'2965D'!I31</f>
        <v/>
      </c>
      <c r="K52" s="113" t="str">
        <f>'2965D'!J31</f>
        <v/>
      </c>
      <c r="L52" s="111" t="str">
        <f>'2965D'!K31</f>
        <v/>
      </c>
      <c r="M52" s="136" t="str">
        <f>IF(FORMATTED!K28=TRUE,"ü","")</f>
        <v/>
      </c>
      <c r="N52" s="137" t="str">
        <f>IF(FORMATTED!L28=TRUE,"ü","")</f>
        <v/>
      </c>
      <c r="O52" s="112" t="str">
        <f>'2965D'!N31</f>
        <v/>
      </c>
      <c r="P52" s="113" t="str">
        <f>'2965D'!P31</f>
        <v/>
      </c>
      <c r="Q52" s="110"/>
      <c r="R52" s="110"/>
      <c r="S52" s="114"/>
      <c r="T52" s="114"/>
      <c r="U52" s="110" t="str">
        <f>'2965D'!Q31</f>
        <v/>
      </c>
      <c r="V52" s="111" t="str">
        <f>'2965D'!R31</f>
        <v/>
      </c>
      <c r="W52" s="106">
        <f>'2965D'!V31</f>
        <v>0</v>
      </c>
      <c r="X52" s="138" t="str">
        <f>IF(FORMATTED!H28=TRUE,"ü","")</f>
        <v/>
      </c>
      <c r="Y52" s="115"/>
    </row>
    <row r="53" spans="2:25" ht="24.9" customHeight="1" thickBot="1" x14ac:dyDescent="0.35">
      <c r="B53" s="74">
        <v>28</v>
      </c>
      <c r="C53" s="105">
        <f>'2965D'!B32</f>
        <v>0</v>
      </c>
      <c r="D53" s="105">
        <f>'2965D'!C32</f>
        <v>0</v>
      </c>
      <c r="E53" s="106">
        <f>'2965D'!D32</f>
        <v>0</v>
      </c>
      <c r="F53" s="107">
        <f>'2965D'!E32</f>
        <v>0</v>
      </c>
      <c r="G53" s="108">
        <f>'2965D'!F32</f>
        <v>0</v>
      </c>
      <c r="H53" s="109" t="str">
        <f>'2965D'!G32</f>
        <v/>
      </c>
      <c r="I53" s="110" t="str">
        <f>'2965D'!H32</f>
        <v/>
      </c>
      <c r="J53" s="117" t="str">
        <f>'2965D'!I32</f>
        <v/>
      </c>
      <c r="K53" s="113" t="str">
        <f>'2965D'!J32</f>
        <v/>
      </c>
      <c r="L53" s="111" t="str">
        <f>'2965D'!K32</f>
        <v/>
      </c>
      <c r="M53" s="136" t="str">
        <f>IF(FORMATTED!K29=TRUE,"ü","")</f>
        <v/>
      </c>
      <c r="N53" s="137" t="str">
        <f>IF(FORMATTED!L29=TRUE,"ü","")</f>
        <v/>
      </c>
      <c r="O53" s="112" t="str">
        <f>'2965D'!N32</f>
        <v/>
      </c>
      <c r="P53" s="113" t="str">
        <f>'2965D'!P32</f>
        <v/>
      </c>
      <c r="Q53" s="110"/>
      <c r="R53" s="110"/>
      <c r="S53" s="114"/>
      <c r="T53" s="114"/>
      <c r="U53" s="110" t="str">
        <f>'2965D'!Q32</f>
        <v/>
      </c>
      <c r="V53" s="111" t="str">
        <f>'2965D'!R32</f>
        <v/>
      </c>
      <c r="W53" s="106">
        <f>'2965D'!V32</f>
        <v>0</v>
      </c>
      <c r="X53" s="138" t="str">
        <f>IF(FORMATTED!H29=TRUE,"ü","")</f>
        <v/>
      </c>
      <c r="Y53" s="115"/>
    </row>
    <row r="54" spans="2:25" ht="24.9" customHeight="1" x14ac:dyDescent="0.3">
      <c r="B54" s="73">
        <v>29</v>
      </c>
      <c r="C54" s="105">
        <f>'2965D'!B33</f>
        <v>0</v>
      </c>
      <c r="D54" s="105">
        <f>'2965D'!C33</f>
        <v>0</v>
      </c>
      <c r="E54" s="106">
        <f>'2965D'!D33</f>
        <v>0</v>
      </c>
      <c r="F54" s="107">
        <f>'2965D'!E33</f>
        <v>0</v>
      </c>
      <c r="G54" s="108">
        <f>'2965D'!F33</f>
        <v>0</v>
      </c>
      <c r="H54" s="109" t="str">
        <f>'2965D'!G33</f>
        <v/>
      </c>
      <c r="I54" s="110" t="str">
        <f>'2965D'!H33</f>
        <v/>
      </c>
      <c r="J54" s="117" t="str">
        <f>'2965D'!I33</f>
        <v/>
      </c>
      <c r="K54" s="113" t="str">
        <f>'2965D'!J33</f>
        <v/>
      </c>
      <c r="L54" s="111" t="str">
        <f>'2965D'!K33</f>
        <v/>
      </c>
      <c r="M54" s="136" t="str">
        <f>IF(FORMATTED!K30=TRUE,"ü","")</f>
        <v/>
      </c>
      <c r="N54" s="137" t="str">
        <f>IF(FORMATTED!L30=TRUE,"ü","")</f>
        <v/>
      </c>
      <c r="O54" s="112" t="str">
        <f>'2965D'!N33</f>
        <v/>
      </c>
      <c r="P54" s="113" t="str">
        <f>'2965D'!P33</f>
        <v/>
      </c>
      <c r="Q54" s="110"/>
      <c r="R54" s="110"/>
      <c r="S54" s="114"/>
      <c r="T54" s="114"/>
      <c r="U54" s="110" t="str">
        <f>'2965D'!Q33</f>
        <v/>
      </c>
      <c r="V54" s="111" t="str">
        <f>'2965D'!R33</f>
        <v/>
      </c>
      <c r="W54" s="106">
        <f>'2965D'!V33</f>
        <v>0</v>
      </c>
      <c r="X54" s="138" t="str">
        <f>IF(FORMATTED!H30=TRUE,"ü","")</f>
        <v/>
      </c>
      <c r="Y54" s="115"/>
    </row>
    <row r="55" spans="2:25" ht="24.9" customHeight="1" thickBot="1" x14ac:dyDescent="0.35">
      <c r="B55" s="74">
        <v>30</v>
      </c>
      <c r="C55" s="105">
        <f>'2965D'!B34</f>
        <v>0</v>
      </c>
      <c r="D55" s="105">
        <f>'2965D'!C34</f>
        <v>0</v>
      </c>
      <c r="E55" s="106">
        <f>'2965D'!D34</f>
        <v>0</v>
      </c>
      <c r="F55" s="107">
        <f>'2965D'!E34</f>
        <v>0</v>
      </c>
      <c r="G55" s="108">
        <f>'2965D'!F34</f>
        <v>0</v>
      </c>
      <c r="H55" s="109" t="str">
        <f>'2965D'!G34</f>
        <v/>
      </c>
      <c r="I55" s="110" t="str">
        <f>'2965D'!H34</f>
        <v/>
      </c>
      <c r="J55" s="117" t="str">
        <f>'2965D'!I34</f>
        <v/>
      </c>
      <c r="K55" s="113" t="str">
        <f>'2965D'!J34</f>
        <v/>
      </c>
      <c r="L55" s="111" t="str">
        <f>'2965D'!K34</f>
        <v/>
      </c>
      <c r="M55" s="136" t="str">
        <f>IF(FORMATTED!K31=TRUE,"ü","")</f>
        <v/>
      </c>
      <c r="N55" s="137" t="str">
        <f>IF(FORMATTED!L31=TRUE,"ü","")</f>
        <v/>
      </c>
      <c r="O55" s="112" t="str">
        <f>'2965D'!N34</f>
        <v/>
      </c>
      <c r="P55" s="113" t="str">
        <f>'2965D'!P34</f>
        <v/>
      </c>
      <c r="Q55" s="110"/>
      <c r="R55" s="110"/>
      <c r="S55" s="114"/>
      <c r="T55" s="114"/>
      <c r="U55" s="110" t="str">
        <f>'2965D'!Q34</f>
        <v/>
      </c>
      <c r="V55" s="111" t="str">
        <f>'2965D'!R34</f>
        <v/>
      </c>
      <c r="W55" s="106">
        <f>'2965D'!V34</f>
        <v>0</v>
      </c>
      <c r="X55" s="138" t="str">
        <f>IF(FORMATTED!H31=TRUE,"ü","")</f>
        <v/>
      </c>
      <c r="Y55" s="115"/>
    </row>
    <row r="56" spans="2:25" ht="24.9" customHeight="1" x14ac:dyDescent="0.3">
      <c r="B56" s="73">
        <v>31</v>
      </c>
      <c r="C56" s="105">
        <f>'2965D'!B35</f>
        <v>0</v>
      </c>
      <c r="D56" s="105">
        <f>'2965D'!C35</f>
        <v>0</v>
      </c>
      <c r="E56" s="106">
        <f>'2965D'!D35</f>
        <v>0</v>
      </c>
      <c r="F56" s="107">
        <f>'2965D'!E35</f>
        <v>0</v>
      </c>
      <c r="G56" s="108">
        <f>'2965D'!F35</f>
        <v>0</v>
      </c>
      <c r="H56" s="109" t="str">
        <f>'2965D'!G35</f>
        <v/>
      </c>
      <c r="I56" s="110" t="str">
        <f>'2965D'!H35</f>
        <v/>
      </c>
      <c r="J56" s="117" t="str">
        <f>'2965D'!I35</f>
        <v/>
      </c>
      <c r="K56" s="113" t="str">
        <f>'2965D'!J35</f>
        <v/>
      </c>
      <c r="L56" s="111" t="str">
        <f>'2965D'!K35</f>
        <v/>
      </c>
      <c r="M56" s="136" t="str">
        <f>IF(FORMATTED!K32=TRUE,"ü","")</f>
        <v/>
      </c>
      <c r="N56" s="137" t="str">
        <f>IF(FORMATTED!L32=TRUE,"ü","")</f>
        <v/>
      </c>
      <c r="O56" s="112" t="str">
        <f>'2965D'!N35</f>
        <v/>
      </c>
      <c r="P56" s="113" t="str">
        <f>'2965D'!P35</f>
        <v/>
      </c>
      <c r="Q56" s="110"/>
      <c r="R56" s="110"/>
      <c r="S56" s="114"/>
      <c r="T56" s="114"/>
      <c r="U56" s="110" t="str">
        <f>'2965D'!Q35</f>
        <v/>
      </c>
      <c r="V56" s="111" t="str">
        <f>'2965D'!R35</f>
        <v/>
      </c>
      <c r="W56" s="106">
        <f>'2965D'!V35</f>
        <v>0</v>
      </c>
      <c r="X56" s="138" t="str">
        <f>IF(FORMATTED!H32=TRUE,"ü","")</f>
        <v/>
      </c>
      <c r="Y56" s="115"/>
    </row>
    <row r="57" spans="2:25" ht="24.9" customHeight="1" thickBot="1" x14ac:dyDescent="0.35">
      <c r="B57" s="80">
        <v>32</v>
      </c>
      <c r="C57" s="119">
        <f>'2965D'!B36</f>
        <v>0</v>
      </c>
      <c r="D57" s="119">
        <f>'2965D'!C36</f>
        <v>0</v>
      </c>
      <c r="E57" s="120">
        <f>'2965D'!D36</f>
        <v>0</v>
      </c>
      <c r="F57" s="121">
        <f>'2965D'!E36</f>
        <v>0</v>
      </c>
      <c r="G57" s="122">
        <f>'2965D'!F36</f>
        <v>0</v>
      </c>
      <c r="H57" s="123" t="str">
        <f>'2965D'!G36</f>
        <v/>
      </c>
      <c r="I57" s="124" t="str">
        <f>'2965D'!H36</f>
        <v/>
      </c>
      <c r="J57" s="125" t="str">
        <f>'2965D'!I36</f>
        <v/>
      </c>
      <c r="K57" s="126" t="str">
        <f>'2965D'!J36</f>
        <v/>
      </c>
      <c r="L57" s="127" t="str">
        <f>'2965D'!K36</f>
        <v/>
      </c>
      <c r="M57" s="141" t="str">
        <f>IF(FORMATTED!K33=TRUE,"ü","")</f>
        <v/>
      </c>
      <c r="N57" s="142" t="str">
        <f>IF(FORMATTED!L33=TRUE,"ü","")</f>
        <v/>
      </c>
      <c r="O57" s="128" t="str">
        <f>'2965D'!N36</f>
        <v/>
      </c>
      <c r="P57" s="126" t="str">
        <f>'2965D'!P36</f>
        <v/>
      </c>
      <c r="Q57" s="124"/>
      <c r="R57" s="124"/>
      <c r="S57" s="33"/>
      <c r="T57" s="33"/>
      <c r="U57" s="124" t="str">
        <f>'2965D'!Q36</f>
        <v/>
      </c>
      <c r="V57" s="127" t="str">
        <f>'2965D'!R36</f>
        <v/>
      </c>
      <c r="W57" s="120">
        <f>'2965D'!V36</f>
        <v>0</v>
      </c>
      <c r="X57" s="140" t="str">
        <f>IF(FORMATTED!H33=TRUE,"ü","")</f>
        <v/>
      </c>
      <c r="Y57" s="129"/>
    </row>
    <row r="58" spans="2:25" ht="24.9" customHeight="1" thickBot="1" x14ac:dyDescent="0.35">
      <c r="C58" s="90"/>
      <c r="D58" s="90"/>
      <c r="E58" s="57"/>
      <c r="F58" s="242" t="s">
        <v>35</v>
      </c>
      <c r="G58" s="242"/>
      <c r="H58" s="160" t="str">
        <f>IF(H44="","",H44+SUM(H46:H57))</f>
        <v/>
      </c>
      <c r="I58" s="169" t="str">
        <f t="shared" ref="I58:V58" si="14">IF(I44="","",I44+SUM(I46:I57))</f>
        <v/>
      </c>
      <c r="J58" s="170" t="str">
        <f t="shared" si="14"/>
        <v/>
      </c>
      <c r="K58" s="160" t="str">
        <f t="shared" si="14"/>
        <v/>
      </c>
      <c r="L58" s="170" t="str">
        <f t="shared" si="14"/>
        <v/>
      </c>
      <c r="M58" s="171"/>
      <c r="N58" s="171"/>
      <c r="O58" s="172" t="str">
        <f t="shared" si="14"/>
        <v/>
      </c>
      <c r="P58" s="173" t="str">
        <f t="shared" si="14"/>
        <v/>
      </c>
      <c r="Q58" s="169" t="str">
        <f t="shared" si="14"/>
        <v/>
      </c>
      <c r="R58" s="169" t="str">
        <f t="shared" si="14"/>
        <v/>
      </c>
      <c r="S58" s="169" t="str">
        <f t="shared" si="14"/>
        <v/>
      </c>
      <c r="T58" s="169" t="str">
        <f t="shared" si="14"/>
        <v/>
      </c>
      <c r="U58" s="169" t="str">
        <f t="shared" si="14"/>
        <v/>
      </c>
      <c r="V58" s="170" t="str">
        <f t="shared" si="14"/>
        <v/>
      </c>
      <c r="W58" s="57"/>
      <c r="X58" s="57"/>
      <c r="Y58" s="57"/>
    </row>
    <row r="59" spans="2:25" ht="24.9" customHeight="1" thickBot="1" x14ac:dyDescent="0.35">
      <c r="B59" s="90"/>
      <c r="C59" s="90"/>
      <c r="D59" s="90"/>
      <c r="E59" s="57"/>
      <c r="F59" s="243" t="s">
        <v>36</v>
      </c>
      <c r="G59" s="243"/>
      <c r="H59" s="159" t="str">
        <f>IF(H45="","",H45+12-COUNTBLANK(H$46:H$57))</f>
        <v/>
      </c>
      <c r="I59" s="167" t="str">
        <f t="shared" ref="I59:V59" si="15">IF(I45="","",I45+12-COUNTBLANK(I$46:I$57))</f>
        <v/>
      </c>
      <c r="J59" s="168" t="str">
        <f t="shared" si="15"/>
        <v/>
      </c>
      <c r="K59" s="159" t="str">
        <f t="shared" si="15"/>
        <v/>
      </c>
      <c r="L59" s="168" t="str">
        <f t="shared" si="15"/>
        <v/>
      </c>
      <c r="M59" s="144"/>
      <c r="N59" s="144"/>
      <c r="O59" s="165" t="str">
        <f t="shared" si="15"/>
        <v/>
      </c>
      <c r="P59" s="166" t="str">
        <f t="shared" si="15"/>
        <v/>
      </c>
      <c r="Q59" s="163" t="str">
        <f t="shared" si="15"/>
        <v/>
      </c>
      <c r="R59" s="163" t="str">
        <f t="shared" si="15"/>
        <v/>
      </c>
      <c r="S59" s="163" t="str">
        <f t="shared" si="15"/>
        <v/>
      </c>
      <c r="T59" s="163" t="str">
        <f t="shared" si="15"/>
        <v/>
      </c>
      <c r="U59" s="163" t="str">
        <f t="shared" si="15"/>
        <v/>
      </c>
      <c r="V59" s="164" t="str">
        <f t="shared" si="15"/>
        <v/>
      </c>
      <c r="W59" s="57"/>
      <c r="X59" s="57"/>
      <c r="Y59" s="57"/>
    </row>
    <row r="60" spans="2:25" ht="24.9" customHeight="1" thickBot="1" x14ac:dyDescent="0.35">
      <c r="C60" s="90"/>
      <c r="D60" s="90"/>
      <c r="E60" s="57"/>
      <c r="F60" s="57"/>
      <c r="G60" s="57"/>
      <c r="H60" s="57"/>
      <c r="I60" s="57"/>
      <c r="J60" s="57"/>
      <c r="K60" s="57"/>
      <c r="L60" s="57"/>
      <c r="M60" s="57"/>
      <c r="N60" s="57"/>
      <c r="O60" s="57"/>
      <c r="P60" s="57"/>
      <c r="Q60" s="57"/>
      <c r="R60" s="57"/>
      <c r="S60" s="57"/>
      <c r="T60" s="57"/>
      <c r="U60" s="57"/>
      <c r="V60" s="57"/>
      <c r="W60" s="57"/>
      <c r="X60" s="57"/>
      <c r="Y60" s="57"/>
    </row>
    <row r="61" spans="2:25" ht="24.9" customHeight="1" thickBot="1" x14ac:dyDescent="0.35">
      <c r="B61" s="90"/>
      <c r="C61" s="90"/>
      <c r="D61" s="90"/>
      <c r="E61" s="57"/>
      <c r="F61" s="57"/>
      <c r="G61" s="57"/>
      <c r="H61" s="217" t="s">
        <v>35</v>
      </c>
      <c r="I61" s="218"/>
      <c r="J61" s="218"/>
      <c r="K61" s="218"/>
      <c r="L61" s="218"/>
      <c r="M61" s="218"/>
      <c r="N61" s="219">
        <f>SUM(P58:V58)</f>
        <v>0</v>
      </c>
      <c r="O61" s="220"/>
      <c r="P61" s="218" t="s">
        <v>36</v>
      </c>
      <c r="Q61" s="218"/>
      <c r="R61" s="218"/>
      <c r="S61" s="218"/>
      <c r="T61" s="218"/>
      <c r="U61" s="218"/>
      <c r="V61" s="221">
        <f>SUM(P59:V59)</f>
        <v>0</v>
      </c>
      <c r="W61" s="220"/>
      <c r="X61" s="57"/>
      <c r="Y61" s="57"/>
    </row>
    <row r="62" spans="2:25" ht="24.9" customHeight="1" thickBot="1" x14ac:dyDescent="0.35">
      <c r="C62" s="90"/>
      <c r="D62" s="90"/>
      <c r="E62" s="57"/>
      <c r="F62" s="57"/>
      <c r="G62" s="57"/>
      <c r="H62" s="210" t="s">
        <v>37</v>
      </c>
      <c r="I62" s="211"/>
      <c r="J62" s="211"/>
      <c r="K62" s="211"/>
      <c r="L62" s="211"/>
      <c r="M62" s="211"/>
      <c r="N62" s="212">
        <f>'2965D'!K41</f>
        <v>110.23819444444445</v>
      </c>
      <c r="O62" s="213"/>
      <c r="P62" s="211" t="s">
        <v>38</v>
      </c>
      <c r="Q62" s="211"/>
      <c r="R62" s="211"/>
      <c r="S62" s="211"/>
      <c r="T62" s="211"/>
      <c r="U62" s="211"/>
      <c r="V62" s="214">
        <f>'2965D'!O41</f>
        <v>12454</v>
      </c>
      <c r="W62" s="215"/>
      <c r="X62" s="57"/>
      <c r="Y62" s="57"/>
    </row>
    <row r="63" spans="2:25" ht="24.9" customHeight="1" thickBot="1" x14ac:dyDescent="0.35">
      <c r="B63" s="216" t="s">
        <v>133</v>
      </c>
      <c r="C63" s="216"/>
      <c r="D63" s="216"/>
      <c r="E63" s="57"/>
      <c r="F63" s="57"/>
      <c r="G63" s="57"/>
      <c r="H63" s="217" t="s">
        <v>135</v>
      </c>
      <c r="I63" s="218"/>
      <c r="J63" s="218"/>
      <c r="K63" s="218"/>
      <c r="L63" s="218"/>
      <c r="M63" s="218"/>
      <c r="N63" s="219">
        <f>N62+N61</f>
        <v>110.23819444444445</v>
      </c>
      <c r="O63" s="220"/>
      <c r="P63" s="218" t="s">
        <v>136</v>
      </c>
      <c r="Q63" s="218"/>
      <c r="R63" s="218"/>
      <c r="S63" s="218"/>
      <c r="T63" s="218"/>
      <c r="U63" s="218"/>
      <c r="V63" s="221">
        <f>V62+V61</f>
        <v>12454</v>
      </c>
      <c r="W63" s="220"/>
      <c r="X63" s="57"/>
      <c r="Y63" s="57"/>
    </row>
    <row r="64" spans="2:25" ht="24.9" customHeight="1" x14ac:dyDescent="0.3">
      <c r="B64" s="216"/>
      <c r="C64" s="216"/>
      <c r="D64" s="216"/>
      <c r="E64" s="57"/>
      <c r="F64" s="57"/>
      <c r="G64" s="57"/>
      <c r="H64" s="91"/>
      <c r="I64" s="91"/>
      <c r="J64" s="91"/>
      <c r="K64" s="91"/>
      <c r="L64" s="91"/>
      <c r="M64" s="91"/>
      <c r="N64" s="92"/>
      <c r="O64" s="92"/>
      <c r="P64" s="91"/>
      <c r="Q64" s="91"/>
      <c r="R64" s="91"/>
      <c r="S64" s="91"/>
      <c r="T64" s="91"/>
      <c r="U64" s="91"/>
      <c r="V64" s="92"/>
      <c r="W64" s="92"/>
      <c r="X64" s="57"/>
      <c r="Y64" s="57"/>
    </row>
    <row r="65" spans="2:25" ht="24.9" customHeight="1" x14ac:dyDescent="0.3">
      <c r="B65" s="216"/>
      <c r="C65" s="216"/>
      <c r="D65" s="216"/>
      <c r="E65" s="57"/>
      <c r="F65" s="57"/>
      <c r="G65" s="57"/>
      <c r="H65" s="91"/>
      <c r="I65" s="91"/>
      <c r="J65" s="91"/>
      <c r="K65" s="91"/>
      <c r="L65" s="91"/>
      <c r="M65" s="91"/>
      <c r="N65" s="92"/>
      <c r="O65" s="92"/>
      <c r="P65" s="91"/>
      <c r="Q65" s="91"/>
      <c r="R65" s="91"/>
      <c r="S65" s="91"/>
      <c r="T65" s="91"/>
      <c r="U65" s="91"/>
      <c r="V65" s="92"/>
      <c r="W65" s="92"/>
      <c r="X65" s="57"/>
      <c r="Y65" s="57"/>
    </row>
    <row r="66" spans="2:25" ht="24.9" customHeight="1" x14ac:dyDescent="0.3">
      <c r="B66" s="216"/>
      <c r="C66" s="216"/>
      <c r="D66" s="216"/>
      <c r="E66" s="57"/>
      <c r="F66" s="57"/>
      <c r="G66" s="57"/>
      <c r="H66" s="222" t="s">
        <v>137</v>
      </c>
      <c r="I66" s="222"/>
      <c r="J66" s="222"/>
      <c r="K66" s="222"/>
      <c r="L66" s="222"/>
      <c r="M66" s="222"/>
      <c r="N66" s="222"/>
      <c r="O66" s="222"/>
      <c r="P66" s="222"/>
      <c r="Q66" s="222"/>
      <c r="R66" s="222"/>
      <c r="S66" s="222"/>
      <c r="T66" s="222"/>
      <c r="U66" s="222"/>
      <c r="V66" s="222"/>
      <c r="W66" s="222"/>
      <c r="X66" s="57"/>
      <c r="Y66" s="57"/>
    </row>
    <row r="67" spans="2:25" ht="24.9" customHeight="1" x14ac:dyDescent="0.3">
      <c r="B67" s="216"/>
      <c r="C67" s="216"/>
      <c r="D67" s="216"/>
      <c r="E67" s="57"/>
      <c r="F67" s="57"/>
      <c r="G67" s="57"/>
      <c r="H67" s="57"/>
      <c r="I67" s="57"/>
      <c r="J67" s="57"/>
      <c r="K67" s="57"/>
      <c r="L67" s="57"/>
      <c r="M67" s="57"/>
      <c r="N67" s="57"/>
      <c r="O67" s="57"/>
      <c r="P67" s="57"/>
      <c r="Q67" s="57"/>
      <c r="R67" s="57"/>
      <c r="S67" s="57"/>
      <c r="T67" s="57"/>
      <c r="U67" s="57"/>
      <c r="V67" s="57"/>
      <c r="W67" s="57"/>
      <c r="X67" s="57"/>
      <c r="Y67" s="57"/>
    </row>
    <row r="68" spans="2:25" ht="13.5" customHeight="1" x14ac:dyDescent="0.3">
      <c r="B68" s="60"/>
      <c r="C68" s="60"/>
      <c r="D68" s="60"/>
    </row>
    <row r="69" spans="2:25" ht="15" customHeight="1" x14ac:dyDescent="0.3"/>
    <row r="70" spans="2:25" ht="13.5" customHeight="1" x14ac:dyDescent="0.3"/>
  </sheetData>
  <sheetProtection sheet="1" objects="1" scenarios="1" selectLockedCells="1" selectUnlockedCells="1"/>
  <mergeCells count="59">
    <mergeCell ref="Y7:Y9"/>
    <mergeCell ref="W2:Y4"/>
    <mergeCell ref="B7:B9"/>
    <mergeCell ref="C7:C9"/>
    <mergeCell ref="D7:D9"/>
    <mergeCell ref="E7:E9"/>
    <mergeCell ref="F7:F9"/>
    <mergeCell ref="G7:G9"/>
    <mergeCell ref="H7:J7"/>
    <mergeCell ref="K7:L7"/>
    <mergeCell ref="Q5:S5"/>
    <mergeCell ref="M7:N8"/>
    <mergeCell ref="O7:O9"/>
    <mergeCell ref="P7:V8"/>
    <mergeCell ref="W7:W9"/>
    <mergeCell ref="X7:X9"/>
    <mergeCell ref="B30:D36"/>
    <mergeCell ref="F30:F31"/>
    <mergeCell ref="B41:B43"/>
    <mergeCell ref="C41:C43"/>
    <mergeCell ref="D41:D43"/>
    <mergeCell ref="E41:E43"/>
    <mergeCell ref="F41:F43"/>
    <mergeCell ref="Q39:S39"/>
    <mergeCell ref="Y41:Y43"/>
    <mergeCell ref="B44:F45"/>
    <mergeCell ref="F58:G58"/>
    <mergeCell ref="F59:G59"/>
    <mergeCell ref="X41:X43"/>
    <mergeCell ref="G41:G43"/>
    <mergeCell ref="H41:J41"/>
    <mergeCell ref="D39:E39"/>
    <mergeCell ref="H39:K39"/>
    <mergeCell ref="O39:P39"/>
    <mergeCell ref="H61:M61"/>
    <mergeCell ref="N61:O61"/>
    <mergeCell ref="P61:U61"/>
    <mergeCell ref="V61:W61"/>
    <mergeCell ref="K41:L41"/>
    <mergeCell ref="M41:N42"/>
    <mergeCell ref="O41:O43"/>
    <mergeCell ref="P41:V42"/>
    <mergeCell ref="W41:W43"/>
    <mergeCell ref="H62:M62"/>
    <mergeCell ref="N62:O62"/>
    <mergeCell ref="P62:U62"/>
    <mergeCell ref="V62:W62"/>
    <mergeCell ref="B63:D67"/>
    <mergeCell ref="H63:M63"/>
    <mergeCell ref="N63:O63"/>
    <mergeCell ref="P63:U63"/>
    <mergeCell ref="V63:W63"/>
    <mergeCell ref="H66:W66"/>
    <mergeCell ref="R4:V4"/>
    <mergeCell ref="D5:E5"/>
    <mergeCell ref="H5:K5"/>
    <mergeCell ref="O5:P5"/>
    <mergeCell ref="E4:H4"/>
    <mergeCell ref="J4:P4"/>
  </mergeCells>
  <conditionalFormatting sqref="C10:Y29">
    <cfRule type="cellIs" dxfId="1" priority="1" operator="equal">
      <formula>0</formula>
    </cfRule>
  </conditionalFormatting>
  <conditionalFormatting sqref="C46:Y57">
    <cfRule type="cellIs" dxfId="0" priority="3" operator="equal">
      <formula>0</formula>
    </cfRule>
  </conditionalFormatting>
  <printOptions horizontalCentered="1"/>
  <pageMargins left="0" right="0" top="0" bottom="0" header="0" footer="0"/>
  <pageSetup paperSize="9" scale="8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AAED8-91B9-4022-AC1A-0935339205A9}">
  <sheetPr codeName="Sheet3"/>
  <dimension ref="A1:B13"/>
  <sheetViews>
    <sheetView workbookViewId="0">
      <selection activeCell="B13" sqref="B13"/>
    </sheetView>
  </sheetViews>
  <sheetFormatPr defaultRowHeight="14.4" x14ac:dyDescent="0.3"/>
  <cols>
    <col min="1" max="1" width="3" bestFit="1" customWidth="1"/>
    <col min="2" max="2" width="120" style="50" customWidth="1"/>
  </cols>
  <sheetData>
    <row r="1" spans="1:2" ht="18" x14ac:dyDescent="0.35">
      <c r="A1" s="256" t="s">
        <v>150</v>
      </c>
      <c r="B1" s="256"/>
    </row>
    <row r="2" spans="1:2" s="55" customFormat="1" ht="28.8" x14ac:dyDescent="0.3">
      <c r="A2" s="56">
        <v>1</v>
      </c>
      <c r="B2" s="65" t="s">
        <v>117</v>
      </c>
    </row>
    <row r="3" spans="1:2" x14ac:dyDescent="0.3">
      <c r="A3" s="56">
        <v>2</v>
      </c>
      <c r="B3" s="66" t="s">
        <v>0</v>
      </c>
    </row>
    <row r="4" spans="1:2" x14ac:dyDescent="0.3">
      <c r="A4" s="56">
        <v>3</v>
      </c>
      <c r="B4" s="66" t="s">
        <v>118</v>
      </c>
    </row>
    <row r="5" spans="1:2" ht="28.8" x14ac:dyDescent="0.3">
      <c r="A5" s="56">
        <v>4</v>
      </c>
      <c r="B5" s="66" t="s">
        <v>1</v>
      </c>
    </row>
    <row r="6" spans="1:2" x14ac:dyDescent="0.3">
      <c r="A6" s="56">
        <v>5</v>
      </c>
      <c r="B6" s="69" t="s">
        <v>119</v>
      </c>
    </row>
    <row r="7" spans="1:2" x14ac:dyDescent="0.3">
      <c r="A7" s="56"/>
    </row>
    <row r="8" spans="1:2" x14ac:dyDescent="0.3">
      <c r="A8" s="56"/>
      <c r="B8" s="67"/>
    </row>
    <row r="9" spans="1:2" x14ac:dyDescent="0.3">
      <c r="A9" s="56"/>
    </row>
    <row r="10" spans="1:2" s="55" customFormat="1" x14ac:dyDescent="0.3">
      <c r="A10" s="56"/>
      <c r="B10" s="50" t="s">
        <v>120</v>
      </c>
    </row>
    <row r="11" spans="1:2" x14ac:dyDescent="0.3">
      <c r="A11" s="56"/>
      <c r="B11" s="66"/>
    </row>
    <row r="12" spans="1:2" x14ac:dyDescent="0.3">
      <c r="A12" s="56"/>
    </row>
    <row r="13" spans="1:2" x14ac:dyDescent="0.3">
      <c r="A13" s="55"/>
      <c r="B13" s="68"/>
    </row>
  </sheetData>
  <mergeCells count="1">
    <mergeCell ref="A1:B1"/>
  </mergeCells>
  <hyperlinks>
    <hyperlink ref="B5" r:id="rId1" display="At the end of the day, ensure this file is saved to &quot;661 VGS Sharepoint &gt; 661 VGS Documents &gt; Log Sheets&quot; or emailed to the stats/GUR individual:                          " xr:uid="{F847CD77-3267-41AB-9AE5-6F97EDAF4C18}"/>
    <hyperlink ref="B3" location="'2965D'!F1" display="Enter aircraft number and date along the top" xr:uid="{F44E4E9D-039B-427D-B169-A585F8CFE7F6}"/>
    <hyperlink ref="B4" location="'2965D'!I56" display="Add launches and hours before flight from the F724." xr:uid="{50D605C2-5851-4386-98C6-26E7DA3BE225}"/>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0D8A6-F505-432A-B8CF-3520177AB38F}">
  <sheetPr codeName="Sheet4"/>
  <dimension ref="A1:D8"/>
  <sheetViews>
    <sheetView workbookViewId="0">
      <selection activeCell="D7" sqref="D7"/>
    </sheetView>
  </sheetViews>
  <sheetFormatPr defaultColWidth="9.109375" defaultRowHeight="14.4" x14ac:dyDescent="0.3"/>
  <cols>
    <col min="1" max="1" width="8.33203125" style="64" bestFit="1" customWidth="1"/>
    <col min="2" max="2" width="11.44140625" style="58" bestFit="1" customWidth="1"/>
    <col min="3" max="3" width="8.6640625" style="58" bestFit="1" customWidth="1"/>
    <col min="4" max="4" width="148.33203125" style="58" customWidth="1"/>
    <col min="5" max="16384" width="9.109375" style="58"/>
  </cols>
  <sheetData>
    <row r="1" spans="1:4" s="62" customFormat="1" ht="15.6" x14ac:dyDescent="0.3">
      <c r="A1" s="63" t="s">
        <v>39</v>
      </c>
      <c r="B1" s="61" t="s">
        <v>5</v>
      </c>
      <c r="C1" s="61" t="s">
        <v>40</v>
      </c>
      <c r="D1" s="61" t="s">
        <v>41</v>
      </c>
    </row>
    <row r="2" spans="1:4" ht="57.6" x14ac:dyDescent="0.3">
      <c r="A2" s="64" t="s">
        <v>42</v>
      </c>
      <c r="B2" s="59">
        <v>45027</v>
      </c>
      <c r="C2" s="58" t="s">
        <v>43</v>
      </c>
      <c r="D2" s="60" t="s">
        <v>44</v>
      </c>
    </row>
    <row r="3" spans="1:4" x14ac:dyDescent="0.3">
      <c r="A3" s="64" t="s">
        <v>45</v>
      </c>
      <c r="B3" s="59">
        <v>45030</v>
      </c>
      <c r="C3" s="58" t="s">
        <v>43</v>
      </c>
      <c r="D3" s="58" t="s">
        <v>46</v>
      </c>
    </row>
    <row r="4" spans="1:4" x14ac:dyDescent="0.3">
      <c r="A4" s="64" t="s">
        <v>47</v>
      </c>
      <c r="B4" s="59">
        <v>45074</v>
      </c>
      <c r="C4" s="58" t="s">
        <v>43</v>
      </c>
      <c r="D4" s="58" t="s">
        <v>48</v>
      </c>
    </row>
    <row r="5" spans="1:4" ht="86.4" x14ac:dyDescent="0.3">
      <c r="A5" s="64" t="s">
        <v>49</v>
      </c>
      <c r="B5" s="59">
        <v>45088</v>
      </c>
      <c r="C5" s="58" t="s">
        <v>50</v>
      </c>
      <c r="D5" s="60" t="s">
        <v>51</v>
      </c>
    </row>
    <row r="6" spans="1:4" x14ac:dyDescent="0.3">
      <c r="A6" s="64" t="s">
        <v>52</v>
      </c>
      <c r="B6" s="59">
        <v>45101</v>
      </c>
      <c r="C6" s="58" t="s">
        <v>50</v>
      </c>
      <c r="D6" s="58" t="s">
        <v>53</v>
      </c>
    </row>
    <row r="7" spans="1:4" ht="57.6" x14ac:dyDescent="0.3">
      <c r="A7" s="64" t="s">
        <v>114</v>
      </c>
      <c r="B7" s="59">
        <v>45136</v>
      </c>
      <c r="C7" s="58" t="s">
        <v>43</v>
      </c>
      <c r="D7" s="60" t="s">
        <v>121</v>
      </c>
    </row>
    <row r="8" spans="1:4" ht="43.2" x14ac:dyDescent="0.3">
      <c r="A8" s="64" t="s">
        <v>146</v>
      </c>
      <c r="B8" s="59">
        <v>45112</v>
      </c>
      <c r="C8" s="58" t="s">
        <v>147</v>
      </c>
      <c r="D8" s="60" t="s">
        <v>148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7542E-8DB5-4960-87F2-F2A36C2E1219}">
  <sheetPr codeName="Sheet5"/>
  <dimension ref="A1:C47"/>
  <sheetViews>
    <sheetView topLeftCell="A9" workbookViewId="0">
      <selection activeCell="D7" sqref="D7"/>
    </sheetView>
  </sheetViews>
  <sheetFormatPr defaultRowHeight="14.4" x14ac:dyDescent="0.3"/>
  <cols>
    <col min="1" max="1" width="11.44140625" bestFit="1" customWidth="1"/>
    <col min="2" max="2" width="12.109375" bestFit="1" customWidth="1"/>
    <col min="3" max="3" width="5.109375" bestFit="1" customWidth="1"/>
    <col min="4" max="4" width="16.44140625" bestFit="1" customWidth="1"/>
    <col min="5" max="5" width="13.5546875" bestFit="1" customWidth="1"/>
  </cols>
  <sheetData>
    <row r="1" spans="1:3" x14ac:dyDescent="0.3">
      <c r="A1" t="s">
        <v>54</v>
      </c>
      <c r="B1" t="s">
        <v>55</v>
      </c>
    </row>
    <row r="2" spans="1:3" x14ac:dyDescent="0.3">
      <c r="A2" t="s">
        <v>56</v>
      </c>
      <c r="B2" t="s">
        <v>57</v>
      </c>
    </row>
    <row r="3" spans="1:3" x14ac:dyDescent="0.3">
      <c r="A3" t="s">
        <v>58</v>
      </c>
      <c r="B3" t="s">
        <v>59</v>
      </c>
    </row>
    <row r="4" spans="1:3" x14ac:dyDescent="0.3">
      <c r="A4" t="s">
        <v>60</v>
      </c>
      <c r="B4" t="s">
        <v>61</v>
      </c>
    </row>
    <row r="5" spans="1:3" x14ac:dyDescent="0.3">
      <c r="A5" t="s">
        <v>62</v>
      </c>
      <c r="B5" t="s">
        <v>63</v>
      </c>
    </row>
    <row r="6" spans="1:3" x14ac:dyDescent="0.3">
      <c r="A6" t="s">
        <v>64</v>
      </c>
      <c r="B6" t="s">
        <v>65</v>
      </c>
    </row>
    <row r="8" spans="1:3" x14ac:dyDescent="0.3">
      <c r="A8" s="55" t="s">
        <v>66</v>
      </c>
      <c r="C8" s="55" t="s">
        <v>22</v>
      </c>
    </row>
    <row r="9" spans="1:3" x14ac:dyDescent="0.3">
      <c r="A9" t="s">
        <v>67</v>
      </c>
      <c r="C9" t="s">
        <v>15</v>
      </c>
    </row>
    <row r="10" spans="1:3" x14ac:dyDescent="0.3">
      <c r="A10" t="s">
        <v>68</v>
      </c>
      <c r="C10" t="s">
        <v>115</v>
      </c>
    </row>
    <row r="11" spans="1:3" x14ac:dyDescent="0.3">
      <c r="A11" t="s">
        <v>69</v>
      </c>
      <c r="C11" t="s">
        <v>116</v>
      </c>
    </row>
    <row r="12" spans="1:3" x14ac:dyDescent="0.3">
      <c r="A12" t="s">
        <v>70</v>
      </c>
      <c r="C12" t="s">
        <v>71</v>
      </c>
    </row>
    <row r="13" spans="1:3" x14ac:dyDescent="0.3">
      <c r="A13" t="s">
        <v>72</v>
      </c>
      <c r="C13" t="s">
        <v>73</v>
      </c>
    </row>
    <row r="14" spans="1:3" x14ac:dyDescent="0.3">
      <c r="A14" t="s">
        <v>74</v>
      </c>
      <c r="C14" t="s">
        <v>75</v>
      </c>
    </row>
    <row r="15" spans="1:3" x14ac:dyDescent="0.3">
      <c r="A15" t="s">
        <v>76</v>
      </c>
    </row>
    <row r="16" spans="1:3" x14ac:dyDescent="0.3">
      <c r="A16" t="s">
        <v>149</v>
      </c>
    </row>
    <row r="17" spans="1:1" x14ac:dyDescent="0.3">
      <c r="A17" t="s">
        <v>77</v>
      </c>
    </row>
    <row r="18" spans="1:1" x14ac:dyDescent="0.3">
      <c r="A18" t="s">
        <v>78</v>
      </c>
    </row>
    <row r="19" spans="1:1" x14ac:dyDescent="0.3">
      <c r="A19" t="s">
        <v>79</v>
      </c>
    </row>
    <row r="20" spans="1:1" x14ac:dyDescent="0.3">
      <c r="A20" t="s">
        <v>80</v>
      </c>
    </row>
    <row r="21" spans="1:1" x14ac:dyDescent="0.3">
      <c r="A21" t="s">
        <v>81</v>
      </c>
    </row>
    <row r="22" spans="1:1" x14ac:dyDescent="0.3">
      <c r="A22" t="s">
        <v>82</v>
      </c>
    </row>
    <row r="23" spans="1:1" x14ac:dyDescent="0.3">
      <c r="A23" t="s">
        <v>83</v>
      </c>
    </row>
    <row r="24" spans="1:1" x14ac:dyDescent="0.3">
      <c r="A24" t="s">
        <v>84</v>
      </c>
    </row>
    <row r="25" spans="1:1" x14ac:dyDescent="0.3">
      <c r="A25" t="s">
        <v>85</v>
      </c>
    </row>
    <row r="26" spans="1:1" x14ac:dyDescent="0.3">
      <c r="A26" t="s">
        <v>86</v>
      </c>
    </row>
    <row r="27" spans="1:1" x14ac:dyDescent="0.3">
      <c r="A27" t="s">
        <v>87</v>
      </c>
    </row>
    <row r="28" spans="1:1" x14ac:dyDescent="0.3">
      <c r="A28" t="s">
        <v>88</v>
      </c>
    </row>
    <row r="29" spans="1:1" x14ac:dyDescent="0.3">
      <c r="A29" t="s">
        <v>89</v>
      </c>
    </row>
    <row r="30" spans="1:1" x14ac:dyDescent="0.3">
      <c r="A30" t="s">
        <v>90</v>
      </c>
    </row>
    <row r="31" spans="1:1" x14ac:dyDescent="0.3">
      <c r="A31" t="s">
        <v>91</v>
      </c>
    </row>
    <row r="32" spans="1:1" x14ac:dyDescent="0.3">
      <c r="A32" t="s">
        <v>92</v>
      </c>
    </row>
    <row r="33" spans="1:1" x14ac:dyDescent="0.3">
      <c r="A33" t="s">
        <v>93</v>
      </c>
    </row>
    <row r="34" spans="1:1" x14ac:dyDescent="0.3">
      <c r="A34" t="s">
        <v>94</v>
      </c>
    </row>
    <row r="35" spans="1:1" x14ac:dyDescent="0.3">
      <c r="A35" t="s">
        <v>95</v>
      </c>
    </row>
    <row r="36" spans="1:1" x14ac:dyDescent="0.3">
      <c r="A36" t="s">
        <v>96</v>
      </c>
    </row>
    <row r="37" spans="1:1" x14ac:dyDescent="0.3">
      <c r="A37" t="s">
        <v>97</v>
      </c>
    </row>
    <row r="38" spans="1:1" x14ac:dyDescent="0.3">
      <c r="A38" t="s">
        <v>98</v>
      </c>
    </row>
    <row r="39" spans="1:1" x14ac:dyDescent="0.3">
      <c r="A39" t="s">
        <v>99</v>
      </c>
    </row>
    <row r="40" spans="1:1" x14ac:dyDescent="0.3">
      <c r="A40" t="s">
        <v>100</v>
      </c>
    </row>
    <row r="41" spans="1:1" x14ac:dyDescent="0.3">
      <c r="A41" t="s">
        <v>101</v>
      </c>
    </row>
    <row r="42" spans="1:1" x14ac:dyDescent="0.3">
      <c r="A42" t="s">
        <v>102</v>
      </c>
    </row>
    <row r="43" spans="1:1" x14ac:dyDescent="0.3">
      <c r="A43" t="s">
        <v>103</v>
      </c>
    </row>
    <row r="44" spans="1:1" x14ac:dyDescent="0.3">
      <c r="A44" t="s">
        <v>104</v>
      </c>
    </row>
    <row r="45" spans="1:1" x14ac:dyDescent="0.3">
      <c r="A45" t="s">
        <v>105</v>
      </c>
    </row>
    <row r="46" spans="1:1" x14ac:dyDescent="0.3">
      <c r="A46" t="s">
        <v>106</v>
      </c>
    </row>
    <row r="47" spans="1:1" x14ac:dyDescent="0.3">
      <c r="A47" t="s">
        <v>107</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8793F-984F-49CF-B59B-2E7FC129B832}">
  <sheetPr codeName="Sheet6"/>
  <dimension ref="A1:L33"/>
  <sheetViews>
    <sheetView topLeftCell="A16" workbookViewId="0">
      <selection activeCell="D7" sqref="D7"/>
    </sheetView>
  </sheetViews>
  <sheetFormatPr defaultRowHeight="14.4" x14ac:dyDescent="0.3"/>
  <cols>
    <col min="1" max="1" width="21" style="47" customWidth="1"/>
    <col min="2" max="2" width="16.88671875" style="47" customWidth="1"/>
    <col min="3" max="3" width="9.109375" style="47"/>
    <col min="4" max="4" width="15.6640625" style="45" bestFit="1" customWidth="1"/>
    <col min="5" max="5" width="15" style="45" customWidth="1"/>
    <col min="6" max="6" width="13.109375" style="46" bestFit="1" customWidth="1"/>
    <col min="7" max="7" width="9.109375" style="46"/>
    <col min="8" max="9" width="9.109375" style="47"/>
    <col min="10" max="10" width="10.6640625" style="52" bestFit="1" customWidth="1"/>
  </cols>
  <sheetData>
    <row r="1" spans="1:12" s="50" customFormat="1" x14ac:dyDescent="0.3">
      <c r="A1" s="54" t="s">
        <v>108</v>
      </c>
      <c r="B1" s="54" t="s">
        <v>109</v>
      </c>
      <c r="C1" s="54" t="s">
        <v>22</v>
      </c>
      <c r="D1" s="51" t="s">
        <v>110</v>
      </c>
      <c r="E1" s="48" t="s">
        <v>111</v>
      </c>
      <c r="F1" s="49" t="s">
        <v>112</v>
      </c>
      <c r="G1" s="49" t="s">
        <v>11</v>
      </c>
      <c r="H1" s="54" t="s">
        <v>13</v>
      </c>
      <c r="I1" s="54" t="s">
        <v>113</v>
      </c>
      <c r="J1" s="53" t="s">
        <v>5</v>
      </c>
      <c r="K1" s="65" t="s">
        <v>30</v>
      </c>
      <c r="L1" s="65" t="s">
        <v>31</v>
      </c>
    </row>
    <row r="2" spans="1:12" x14ac:dyDescent="0.3">
      <c r="A2" s="47">
        <f>'2965D'!B5</f>
        <v>0</v>
      </c>
      <c r="B2" s="47">
        <f>'2965D'!C5</f>
        <v>0</v>
      </c>
      <c r="C2" s="47">
        <f>'2965D'!D5</f>
        <v>0</v>
      </c>
      <c r="D2" s="45">
        <f>'2965D'!E5+Formatted[[#This Row],[Date]]</f>
        <v>0</v>
      </c>
      <c r="E2" s="45">
        <f>'2965D'!F5+Formatted[[#This Row],[Date]]</f>
        <v>0</v>
      </c>
      <c r="F2" s="46">
        <f>ROUND((Formatted[[#This Row],[LandingTime]]-Formatted[[#This Row],[TakeOffTime]]) * 1440, 0)</f>
        <v>0</v>
      </c>
      <c r="G2" s="46" t="str">
        <f>'2965D'!O5</f>
        <v/>
      </c>
      <c r="H2" s="47" t="b">
        <v>0</v>
      </c>
      <c r="I2" s="47">
        <f>'2965D'!$F$1</f>
        <v>0</v>
      </c>
      <c r="J2" s="52">
        <f>'2965D'!$O$1</f>
        <v>0</v>
      </c>
      <c r="K2" t="b">
        <v>0</v>
      </c>
      <c r="L2" t="b">
        <v>0</v>
      </c>
    </row>
    <row r="3" spans="1:12" x14ac:dyDescent="0.3">
      <c r="A3" s="47">
        <f>'2965D'!B6</f>
        <v>0</v>
      </c>
      <c r="B3" s="47">
        <f>'2965D'!C6</f>
        <v>0</v>
      </c>
      <c r="C3" s="47">
        <f>'2965D'!D6</f>
        <v>0</v>
      </c>
      <c r="D3" s="45">
        <f>'2965D'!E6+Formatted[[#This Row],[Date]]</f>
        <v>0</v>
      </c>
      <c r="E3" s="45">
        <f>'2965D'!F6+Formatted[[#This Row],[Date]]</f>
        <v>0</v>
      </c>
      <c r="F3" s="46">
        <f>ROUND((Formatted[[#This Row],[LandingTime]]-Formatted[[#This Row],[TakeOffTime]]) * 1440, 0)</f>
        <v>0</v>
      </c>
      <c r="G3" s="46" t="str">
        <f>'2965D'!O6</f>
        <v/>
      </c>
      <c r="H3" s="47" t="b">
        <v>0</v>
      </c>
      <c r="I3" s="47">
        <f>'2965D'!$F$1</f>
        <v>0</v>
      </c>
      <c r="J3" s="52">
        <f>'2965D'!$O$1</f>
        <v>0</v>
      </c>
      <c r="K3" t="b">
        <v>0</v>
      </c>
      <c r="L3" t="b">
        <v>0</v>
      </c>
    </row>
    <row r="4" spans="1:12" x14ac:dyDescent="0.3">
      <c r="A4" s="47">
        <f>'2965D'!B7</f>
        <v>0</v>
      </c>
      <c r="B4" s="47">
        <f>'2965D'!C7</f>
        <v>0</v>
      </c>
      <c r="C4" s="47">
        <f>'2965D'!D7</f>
        <v>0</v>
      </c>
      <c r="D4" s="45">
        <f>'2965D'!E7+Formatted[[#This Row],[Date]]</f>
        <v>0</v>
      </c>
      <c r="E4" s="45">
        <f>'2965D'!F7+Formatted[[#This Row],[Date]]</f>
        <v>0</v>
      </c>
      <c r="F4" s="46">
        <f>ROUND((Formatted[[#This Row],[LandingTime]]-Formatted[[#This Row],[TakeOffTime]]) * 1440, 0)</f>
        <v>0</v>
      </c>
      <c r="G4" s="46" t="str">
        <f>'2965D'!O7</f>
        <v/>
      </c>
      <c r="H4" s="47" t="b">
        <v>0</v>
      </c>
      <c r="I4" s="47">
        <f>'2965D'!$F$1</f>
        <v>0</v>
      </c>
      <c r="J4" s="52">
        <f>'2965D'!$O$1</f>
        <v>0</v>
      </c>
      <c r="K4" t="b">
        <v>0</v>
      </c>
      <c r="L4" t="b">
        <v>0</v>
      </c>
    </row>
    <row r="5" spans="1:12" x14ac:dyDescent="0.3">
      <c r="A5" s="47">
        <f>'2965D'!B8</f>
        <v>0</v>
      </c>
      <c r="B5" s="47">
        <f>'2965D'!C8</f>
        <v>0</v>
      </c>
      <c r="C5" s="47">
        <f>'2965D'!D8</f>
        <v>0</v>
      </c>
      <c r="D5" s="45">
        <f>'2965D'!E8+Formatted[[#This Row],[Date]]</f>
        <v>0</v>
      </c>
      <c r="E5" s="45">
        <f>'2965D'!F8+Formatted[[#This Row],[Date]]</f>
        <v>0</v>
      </c>
      <c r="F5" s="46">
        <f>ROUND((Formatted[[#This Row],[LandingTime]]-Formatted[[#This Row],[TakeOffTime]]) * 1440, 0)</f>
        <v>0</v>
      </c>
      <c r="G5" s="46" t="str">
        <f>'2965D'!O8</f>
        <v/>
      </c>
      <c r="H5" s="47" t="b">
        <v>0</v>
      </c>
      <c r="I5" s="47">
        <f>'2965D'!$F$1</f>
        <v>0</v>
      </c>
      <c r="J5" s="52">
        <f>'2965D'!$O$1</f>
        <v>0</v>
      </c>
      <c r="K5" t="b">
        <v>0</v>
      </c>
      <c r="L5" t="b">
        <v>0</v>
      </c>
    </row>
    <row r="6" spans="1:12" x14ac:dyDescent="0.3">
      <c r="A6" s="47">
        <f>'2965D'!B9</f>
        <v>0</v>
      </c>
      <c r="B6" s="47">
        <f>'2965D'!C9</f>
        <v>0</v>
      </c>
      <c r="C6" s="47">
        <f>'2965D'!D9</f>
        <v>0</v>
      </c>
      <c r="D6" s="45">
        <f>'2965D'!E9+Formatted[[#This Row],[Date]]</f>
        <v>0</v>
      </c>
      <c r="E6" s="45">
        <f>'2965D'!F9+Formatted[[#This Row],[Date]]</f>
        <v>0</v>
      </c>
      <c r="F6" s="46">
        <f>ROUND((Formatted[[#This Row],[LandingTime]]-Formatted[[#This Row],[TakeOffTime]]) * 1440, 0)</f>
        <v>0</v>
      </c>
      <c r="G6" s="46" t="str">
        <f>'2965D'!O9</f>
        <v/>
      </c>
      <c r="H6" s="47" t="b">
        <v>0</v>
      </c>
      <c r="I6" s="47">
        <f>'2965D'!$F$1</f>
        <v>0</v>
      </c>
      <c r="J6" s="52">
        <f>'2965D'!$O$1</f>
        <v>0</v>
      </c>
      <c r="K6" t="b">
        <v>0</v>
      </c>
      <c r="L6" t="b">
        <v>0</v>
      </c>
    </row>
    <row r="7" spans="1:12" x14ac:dyDescent="0.3">
      <c r="A7" s="47">
        <f>'2965D'!B10</f>
        <v>0</v>
      </c>
      <c r="B7" s="47">
        <f>'2965D'!C10</f>
        <v>0</v>
      </c>
      <c r="C7" s="47">
        <f>'2965D'!D10</f>
        <v>0</v>
      </c>
      <c r="D7" s="45">
        <f>'2965D'!E10+Formatted[[#This Row],[Date]]</f>
        <v>0</v>
      </c>
      <c r="E7" s="45">
        <f>'2965D'!F10+Formatted[[#This Row],[Date]]</f>
        <v>0</v>
      </c>
      <c r="F7" s="46">
        <f>ROUND((Formatted[[#This Row],[LandingTime]]-Formatted[[#This Row],[TakeOffTime]]) * 1440, 0)</f>
        <v>0</v>
      </c>
      <c r="G7" s="46" t="str">
        <f>'2965D'!O10</f>
        <v/>
      </c>
      <c r="H7" s="47" t="b">
        <v>0</v>
      </c>
      <c r="I7" s="47">
        <f>'2965D'!$F$1</f>
        <v>0</v>
      </c>
      <c r="J7" s="52">
        <f>'2965D'!$O$1</f>
        <v>0</v>
      </c>
      <c r="K7" t="b">
        <v>0</v>
      </c>
      <c r="L7" t="b">
        <v>0</v>
      </c>
    </row>
    <row r="8" spans="1:12" x14ac:dyDescent="0.3">
      <c r="A8" s="47">
        <f>'2965D'!B11</f>
        <v>0</v>
      </c>
      <c r="B8" s="47">
        <f>'2965D'!C11</f>
        <v>0</v>
      </c>
      <c r="C8" s="47">
        <f>'2965D'!D11</f>
        <v>0</v>
      </c>
      <c r="D8" s="45">
        <f>'2965D'!E11+Formatted[[#This Row],[Date]]</f>
        <v>0</v>
      </c>
      <c r="E8" s="45">
        <f>'2965D'!F11+Formatted[[#This Row],[Date]]</f>
        <v>0</v>
      </c>
      <c r="F8" s="46">
        <f>ROUND((Formatted[[#This Row],[LandingTime]]-Formatted[[#This Row],[TakeOffTime]]) * 1440, 0)</f>
        <v>0</v>
      </c>
      <c r="G8" s="46" t="str">
        <f>'2965D'!O11</f>
        <v/>
      </c>
      <c r="H8" s="47" t="b">
        <v>0</v>
      </c>
      <c r="I8" s="47">
        <f>'2965D'!$F$1</f>
        <v>0</v>
      </c>
      <c r="J8" s="52">
        <f>'2965D'!$O$1</f>
        <v>0</v>
      </c>
      <c r="K8" t="b">
        <v>0</v>
      </c>
      <c r="L8" t="b">
        <v>0</v>
      </c>
    </row>
    <row r="9" spans="1:12" x14ac:dyDescent="0.3">
      <c r="A9" s="47">
        <f>'2965D'!B12</f>
        <v>0</v>
      </c>
      <c r="B9" s="47">
        <f>'2965D'!C12</f>
        <v>0</v>
      </c>
      <c r="C9" s="47">
        <f>'2965D'!D12</f>
        <v>0</v>
      </c>
      <c r="D9" s="45">
        <f>'2965D'!E12+Formatted[[#This Row],[Date]]</f>
        <v>0</v>
      </c>
      <c r="E9" s="45">
        <f>'2965D'!F12+Formatted[[#This Row],[Date]]</f>
        <v>0</v>
      </c>
      <c r="F9" s="46">
        <f>ROUND((Formatted[[#This Row],[LandingTime]]-Formatted[[#This Row],[TakeOffTime]]) * 1440, 0)</f>
        <v>0</v>
      </c>
      <c r="G9" s="46" t="str">
        <f>'2965D'!O12</f>
        <v/>
      </c>
      <c r="H9" s="47" t="b">
        <v>0</v>
      </c>
      <c r="I9" s="47">
        <f>'2965D'!$F$1</f>
        <v>0</v>
      </c>
      <c r="J9" s="52">
        <f>'2965D'!$O$1</f>
        <v>0</v>
      </c>
      <c r="K9" t="b">
        <v>0</v>
      </c>
      <c r="L9" t="b">
        <v>0</v>
      </c>
    </row>
    <row r="10" spans="1:12" x14ac:dyDescent="0.3">
      <c r="A10" s="47">
        <f>'2965D'!B13</f>
        <v>0</v>
      </c>
      <c r="B10" s="47">
        <f>'2965D'!C13</f>
        <v>0</v>
      </c>
      <c r="C10" s="47">
        <f>'2965D'!D13</f>
        <v>0</v>
      </c>
      <c r="D10" s="45">
        <f>'2965D'!E13+Formatted[[#This Row],[Date]]</f>
        <v>0</v>
      </c>
      <c r="E10" s="45">
        <f>'2965D'!F13+Formatted[[#This Row],[Date]]</f>
        <v>0</v>
      </c>
      <c r="F10" s="46">
        <f>ROUND((Formatted[[#This Row],[LandingTime]]-Formatted[[#This Row],[TakeOffTime]]) * 1440, 0)</f>
        <v>0</v>
      </c>
      <c r="G10" s="46" t="str">
        <f>'2965D'!O13</f>
        <v/>
      </c>
      <c r="H10" s="47" t="b">
        <v>0</v>
      </c>
      <c r="I10" s="47">
        <f>'2965D'!$F$1</f>
        <v>0</v>
      </c>
      <c r="J10" s="52">
        <f>'2965D'!$O$1</f>
        <v>0</v>
      </c>
      <c r="K10" t="b">
        <v>0</v>
      </c>
      <c r="L10" t="b">
        <v>0</v>
      </c>
    </row>
    <row r="11" spans="1:12" x14ac:dyDescent="0.3">
      <c r="A11" s="47">
        <f>'2965D'!B14</f>
        <v>0</v>
      </c>
      <c r="B11" s="47">
        <f>'2965D'!C14</f>
        <v>0</v>
      </c>
      <c r="C11" s="47">
        <f>'2965D'!D14</f>
        <v>0</v>
      </c>
      <c r="D11" s="45">
        <f>'2965D'!E14+Formatted[[#This Row],[Date]]</f>
        <v>0</v>
      </c>
      <c r="E11" s="45">
        <f>'2965D'!F14+Formatted[[#This Row],[Date]]</f>
        <v>0</v>
      </c>
      <c r="F11" s="46">
        <f>ROUND((Formatted[[#This Row],[LandingTime]]-Formatted[[#This Row],[TakeOffTime]]) * 1440, 0)</f>
        <v>0</v>
      </c>
      <c r="G11" s="46" t="str">
        <f>'2965D'!O14</f>
        <v/>
      </c>
      <c r="H11" s="47" t="b">
        <v>0</v>
      </c>
      <c r="I11" s="47">
        <f>'2965D'!$F$1</f>
        <v>0</v>
      </c>
      <c r="J11" s="52">
        <f>'2965D'!$O$1</f>
        <v>0</v>
      </c>
      <c r="K11" t="b">
        <v>0</v>
      </c>
      <c r="L11" t="b">
        <v>0</v>
      </c>
    </row>
    <row r="12" spans="1:12" x14ac:dyDescent="0.3">
      <c r="A12" s="47">
        <f>'2965D'!B15</f>
        <v>0</v>
      </c>
      <c r="B12" s="47">
        <f>'2965D'!C15</f>
        <v>0</v>
      </c>
      <c r="C12" s="47">
        <f>'2965D'!D15</f>
        <v>0</v>
      </c>
      <c r="D12" s="45">
        <f>'2965D'!E15+Formatted[[#This Row],[Date]]</f>
        <v>0</v>
      </c>
      <c r="E12" s="45">
        <f>'2965D'!F15+Formatted[[#This Row],[Date]]</f>
        <v>0</v>
      </c>
      <c r="F12" s="46">
        <f>ROUND((Formatted[[#This Row],[LandingTime]]-Formatted[[#This Row],[TakeOffTime]]) * 1440, 0)</f>
        <v>0</v>
      </c>
      <c r="G12" s="46" t="str">
        <f>'2965D'!O15</f>
        <v/>
      </c>
      <c r="H12" s="47" t="b">
        <v>0</v>
      </c>
      <c r="I12" s="47">
        <f>'2965D'!$F$1</f>
        <v>0</v>
      </c>
      <c r="J12" s="52">
        <f>'2965D'!$O$1</f>
        <v>0</v>
      </c>
      <c r="K12" t="b">
        <v>0</v>
      </c>
      <c r="L12" t="b">
        <v>0</v>
      </c>
    </row>
    <row r="13" spans="1:12" x14ac:dyDescent="0.3">
      <c r="A13" s="47">
        <f>'2965D'!B16</f>
        <v>0</v>
      </c>
      <c r="B13" s="47">
        <f>'2965D'!C16</f>
        <v>0</v>
      </c>
      <c r="C13" s="47">
        <f>'2965D'!D16</f>
        <v>0</v>
      </c>
      <c r="D13" s="45">
        <f>'2965D'!E16+Formatted[[#This Row],[Date]]</f>
        <v>0</v>
      </c>
      <c r="E13" s="45">
        <f>'2965D'!F16+Formatted[[#This Row],[Date]]</f>
        <v>0</v>
      </c>
      <c r="F13" s="46">
        <f>ROUND((Formatted[[#This Row],[LandingTime]]-Formatted[[#This Row],[TakeOffTime]]) * 1440, 0)</f>
        <v>0</v>
      </c>
      <c r="G13" s="46" t="str">
        <f>'2965D'!O16</f>
        <v/>
      </c>
      <c r="H13" s="47" t="b">
        <v>0</v>
      </c>
      <c r="I13" s="47">
        <f>'2965D'!$F$1</f>
        <v>0</v>
      </c>
      <c r="J13" s="52">
        <f>'2965D'!$O$1</f>
        <v>0</v>
      </c>
      <c r="K13" t="b">
        <v>0</v>
      </c>
      <c r="L13" t="b">
        <v>0</v>
      </c>
    </row>
    <row r="14" spans="1:12" x14ac:dyDescent="0.3">
      <c r="A14" s="47">
        <f>'2965D'!B17</f>
        <v>0</v>
      </c>
      <c r="B14" s="47">
        <f>'2965D'!C17</f>
        <v>0</v>
      </c>
      <c r="C14" s="47">
        <f>'2965D'!D17</f>
        <v>0</v>
      </c>
      <c r="D14" s="45">
        <f>'2965D'!E17+Formatted[[#This Row],[Date]]</f>
        <v>0</v>
      </c>
      <c r="E14" s="45">
        <f>'2965D'!F17+Formatted[[#This Row],[Date]]</f>
        <v>0</v>
      </c>
      <c r="F14" s="46">
        <f>ROUND((Formatted[[#This Row],[LandingTime]]-Formatted[[#This Row],[TakeOffTime]]) * 1440, 0)</f>
        <v>0</v>
      </c>
      <c r="G14" s="46" t="str">
        <f>'2965D'!O17</f>
        <v/>
      </c>
      <c r="H14" s="47" t="b">
        <v>0</v>
      </c>
      <c r="I14" s="47">
        <f>'2965D'!$F$1</f>
        <v>0</v>
      </c>
      <c r="J14" s="52">
        <f>'2965D'!$O$1</f>
        <v>0</v>
      </c>
      <c r="K14" t="b">
        <v>0</v>
      </c>
      <c r="L14" t="b">
        <v>0</v>
      </c>
    </row>
    <row r="15" spans="1:12" x14ac:dyDescent="0.3">
      <c r="A15" s="47">
        <f>'2965D'!B18</f>
        <v>0</v>
      </c>
      <c r="B15" s="47">
        <f>'2965D'!C18</f>
        <v>0</v>
      </c>
      <c r="C15" s="47">
        <f>'2965D'!D18</f>
        <v>0</v>
      </c>
      <c r="D15" s="45">
        <f>'2965D'!E18+Formatted[[#This Row],[Date]]</f>
        <v>0</v>
      </c>
      <c r="E15" s="45">
        <f>'2965D'!F18+Formatted[[#This Row],[Date]]</f>
        <v>0</v>
      </c>
      <c r="F15" s="46">
        <f>ROUND((Formatted[[#This Row],[LandingTime]]-Formatted[[#This Row],[TakeOffTime]]) * 1440, 0)</f>
        <v>0</v>
      </c>
      <c r="G15" s="46" t="str">
        <f>'2965D'!O18</f>
        <v/>
      </c>
      <c r="H15" s="47" t="b">
        <v>0</v>
      </c>
      <c r="I15" s="47">
        <f>'2965D'!$F$1</f>
        <v>0</v>
      </c>
      <c r="J15" s="52">
        <f>'2965D'!$O$1</f>
        <v>0</v>
      </c>
      <c r="K15" t="b">
        <v>0</v>
      </c>
      <c r="L15" t="b">
        <v>0</v>
      </c>
    </row>
    <row r="16" spans="1:12" x14ac:dyDescent="0.3">
      <c r="A16" s="47">
        <f>'2965D'!B19</f>
        <v>0</v>
      </c>
      <c r="B16" s="47">
        <f>'2965D'!C19</f>
        <v>0</v>
      </c>
      <c r="C16" s="47">
        <f>'2965D'!D19</f>
        <v>0</v>
      </c>
      <c r="D16" s="45">
        <f>'2965D'!E19+Formatted[[#This Row],[Date]]</f>
        <v>0</v>
      </c>
      <c r="E16" s="45">
        <f>'2965D'!F19+Formatted[[#This Row],[Date]]</f>
        <v>0</v>
      </c>
      <c r="F16" s="46">
        <f>ROUND((Formatted[[#This Row],[LandingTime]]-Formatted[[#This Row],[TakeOffTime]]) * 1440, 0)</f>
        <v>0</v>
      </c>
      <c r="G16" s="46" t="str">
        <f>'2965D'!O19</f>
        <v/>
      </c>
      <c r="H16" s="47" t="b">
        <v>0</v>
      </c>
      <c r="I16" s="47">
        <f>'2965D'!$F$1</f>
        <v>0</v>
      </c>
      <c r="J16" s="52">
        <f>'2965D'!$O$1</f>
        <v>0</v>
      </c>
      <c r="K16" t="b">
        <v>0</v>
      </c>
      <c r="L16" t="b">
        <v>0</v>
      </c>
    </row>
    <row r="17" spans="1:12" x14ac:dyDescent="0.3">
      <c r="A17" s="47">
        <f>'2965D'!B20</f>
        <v>0</v>
      </c>
      <c r="B17" s="47">
        <f>'2965D'!C20</f>
        <v>0</v>
      </c>
      <c r="C17" s="47">
        <f>'2965D'!D20</f>
        <v>0</v>
      </c>
      <c r="D17" s="45">
        <f>'2965D'!E20+Formatted[[#This Row],[Date]]</f>
        <v>0</v>
      </c>
      <c r="E17" s="45">
        <f>'2965D'!F20+Formatted[[#This Row],[Date]]</f>
        <v>0</v>
      </c>
      <c r="F17" s="46">
        <f>ROUND((Formatted[[#This Row],[LandingTime]]-Formatted[[#This Row],[TakeOffTime]]) * 1440, 0)</f>
        <v>0</v>
      </c>
      <c r="G17" s="46" t="str">
        <f>'2965D'!O20</f>
        <v/>
      </c>
      <c r="H17" s="47" t="b">
        <v>0</v>
      </c>
      <c r="I17" s="47">
        <f>'2965D'!$F$1</f>
        <v>0</v>
      </c>
      <c r="J17" s="52">
        <f>'2965D'!$O$1</f>
        <v>0</v>
      </c>
      <c r="K17" t="b">
        <v>0</v>
      </c>
      <c r="L17" t="b">
        <v>0</v>
      </c>
    </row>
    <row r="18" spans="1:12" x14ac:dyDescent="0.3">
      <c r="A18" s="47">
        <f>'2965D'!B21</f>
        <v>0</v>
      </c>
      <c r="B18" s="47">
        <f>'2965D'!C21</f>
        <v>0</v>
      </c>
      <c r="C18" s="47">
        <f>'2965D'!D21</f>
        <v>0</v>
      </c>
      <c r="D18" s="45">
        <f>'2965D'!E21+Formatted[[#This Row],[Date]]</f>
        <v>0</v>
      </c>
      <c r="E18" s="45">
        <f>'2965D'!F21+Formatted[[#This Row],[Date]]</f>
        <v>0</v>
      </c>
      <c r="F18" s="46">
        <f>ROUND((Formatted[[#This Row],[LandingTime]]-Formatted[[#This Row],[TakeOffTime]]) * 1440, 0)</f>
        <v>0</v>
      </c>
      <c r="G18" s="46" t="str">
        <f>'2965D'!O21</f>
        <v/>
      </c>
      <c r="H18" s="47" t="b">
        <v>0</v>
      </c>
      <c r="I18" s="47">
        <f>'2965D'!$F$1</f>
        <v>0</v>
      </c>
      <c r="J18" s="52">
        <f>'2965D'!$O$1</f>
        <v>0</v>
      </c>
      <c r="K18" t="b">
        <v>0</v>
      </c>
      <c r="L18" t="b">
        <v>0</v>
      </c>
    </row>
    <row r="19" spans="1:12" x14ac:dyDescent="0.3">
      <c r="A19" s="47">
        <f>'2965D'!B22</f>
        <v>0</v>
      </c>
      <c r="B19" s="47">
        <f>'2965D'!C22</f>
        <v>0</v>
      </c>
      <c r="C19" s="47">
        <f>'2965D'!D22</f>
        <v>0</v>
      </c>
      <c r="D19" s="45">
        <f>'2965D'!E22+Formatted[[#This Row],[Date]]</f>
        <v>0</v>
      </c>
      <c r="E19" s="45">
        <f>'2965D'!F22+Formatted[[#This Row],[Date]]</f>
        <v>0</v>
      </c>
      <c r="F19" s="46">
        <f>ROUND((Formatted[[#This Row],[LandingTime]]-Formatted[[#This Row],[TakeOffTime]]) * 1440, 0)</f>
        <v>0</v>
      </c>
      <c r="G19" s="46" t="str">
        <f>'2965D'!O22</f>
        <v/>
      </c>
      <c r="H19" s="47" t="b">
        <v>0</v>
      </c>
      <c r="I19" s="47">
        <f>'2965D'!$F$1</f>
        <v>0</v>
      </c>
      <c r="J19" s="52">
        <f>'2965D'!$O$1</f>
        <v>0</v>
      </c>
      <c r="K19" t="b">
        <v>0</v>
      </c>
      <c r="L19" t="b">
        <v>0</v>
      </c>
    </row>
    <row r="20" spans="1:12" x14ac:dyDescent="0.3">
      <c r="A20" s="47">
        <f>'2965D'!B23</f>
        <v>0</v>
      </c>
      <c r="B20" s="47">
        <f>'2965D'!C23</f>
        <v>0</v>
      </c>
      <c r="C20" s="47">
        <f>'2965D'!D23</f>
        <v>0</v>
      </c>
      <c r="D20" s="45">
        <f>'2965D'!E23+Formatted[[#This Row],[Date]]</f>
        <v>0</v>
      </c>
      <c r="E20" s="45">
        <f>'2965D'!F23+Formatted[[#This Row],[Date]]</f>
        <v>0</v>
      </c>
      <c r="F20" s="46">
        <f>ROUND((Formatted[[#This Row],[LandingTime]]-Formatted[[#This Row],[TakeOffTime]]) * 1440, 0)</f>
        <v>0</v>
      </c>
      <c r="G20" s="46" t="str">
        <f>'2965D'!O23</f>
        <v/>
      </c>
      <c r="H20" s="47" t="b">
        <v>0</v>
      </c>
      <c r="I20" s="47">
        <f>'2965D'!$F$1</f>
        <v>0</v>
      </c>
      <c r="J20" s="52">
        <f>'2965D'!$O$1</f>
        <v>0</v>
      </c>
      <c r="K20" t="b">
        <v>0</v>
      </c>
      <c r="L20" t="b">
        <v>0</v>
      </c>
    </row>
    <row r="21" spans="1:12" x14ac:dyDescent="0.3">
      <c r="A21" s="47">
        <f>'2965D'!B24</f>
        <v>0</v>
      </c>
      <c r="B21" s="47">
        <f>'2965D'!C24</f>
        <v>0</v>
      </c>
      <c r="C21" s="47">
        <f>'2965D'!D24</f>
        <v>0</v>
      </c>
      <c r="D21" s="45">
        <f>'2965D'!E24+Formatted[[#This Row],[Date]]</f>
        <v>0</v>
      </c>
      <c r="E21" s="45">
        <f>'2965D'!F24+Formatted[[#This Row],[Date]]</f>
        <v>0</v>
      </c>
      <c r="F21" s="46">
        <f>ROUND((Formatted[[#This Row],[LandingTime]]-Formatted[[#This Row],[TakeOffTime]]) * 1440, 0)</f>
        <v>0</v>
      </c>
      <c r="G21" s="46" t="str">
        <f>'2965D'!O24</f>
        <v/>
      </c>
      <c r="H21" s="47" t="b">
        <v>0</v>
      </c>
      <c r="I21" s="47">
        <f>'2965D'!$F$1</f>
        <v>0</v>
      </c>
      <c r="J21" s="52">
        <f>'2965D'!$O$1</f>
        <v>0</v>
      </c>
      <c r="K21" t="b">
        <v>0</v>
      </c>
      <c r="L21" t="b">
        <v>0</v>
      </c>
    </row>
    <row r="22" spans="1:12" x14ac:dyDescent="0.3">
      <c r="A22" s="47">
        <f>'2965D'!B25</f>
        <v>0</v>
      </c>
      <c r="B22" s="47">
        <f>'2965D'!C25</f>
        <v>0</v>
      </c>
      <c r="C22" s="47">
        <f>'2965D'!D25</f>
        <v>0</v>
      </c>
      <c r="D22" s="45">
        <f>'2965D'!E25+Formatted[[#This Row],[Date]]</f>
        <v>0</v>
      </c>
      <c r="E22" s="45">
        <f>'2965D'!F25+Formatted[[#This Row],[Date]]</f>
        <v>0</v>
      </c>
      <c r="F22" s="46">
        <f>ROUND((Formatted[[#This Row],[LandingTime]]-Formatted[[#This Row],[TakeOffTime]]) * 1440, 0)</f>
        <v>0</v>
      </c>
      <c r="G22" s="46" t="str">
        <f>'2965D'!O25</f>
        <v/>
      </c>
      <c r="H22" s="47" t="b">
        <v>0</v>
      </c>
      <c r="I22" s="47">
        <f>'2965D'!$F$1</f>
        <v>0</v>
      </c>
      <c r="J22" s="52">
        <f>'2965D'!$O$1</f>
        <v>0</v>
      </c>
      <c r="K22" t="b">
        <v>0</v>
      </c>
      <c r="L22" t="b">
        <v>0</v>
      </c>
    </row>
    <row r="23" spans="1:12" x14ac:dyDescent="0.3">
      <c r="A23" s="47">
        <f>'2965D'!B26</f>
        <v>0</v>
      </c>
      <c r="B23" s="47">
        <f>'2965D'!C26</f>
        <v>0</v>
      </c>
      <c r="C23" s="47">
        <f>'2965D'!D26</f>
        <v>0</v>
      </c>
      <c r="D23" s="45">
        <f>'2965D'!E26+Formatted[[#This Row],[Date]]</f>
        <v>0</v>
      </c>
      <c r="E23" s="45">
        <f>'2965D'!F26+Formatted[[#This Row],[Date]]</f>
        <v>0</v>
      </c>
      <c r="F23" s="46">
        <f>ROUND((Formatted[[#This Row],[LandingTime]]-Formatted[[#This Row],[TakeOffTime]]) * 1440, 0)</f>
        <v>0</v>
      </c>
      <c r="G23" s="46" t="str">
        <f>'2965D'!O26</f>
        <v/>
      </c>
      <c r="H23" s="47" t="b">
        <v>0</v>
      </c>
      <c r="I23" s="47">
        <f>'2965D'!$F$1</f>
        <v>0</v>
      </c>
      <c r="J23" s="52">
        <f>'2965D'!$O$1</f>
        <v>0</v>
      </c>
      <c r="K23" t="b">
        <v>0</v>
      </c>
      <c r="L23" t="b">
        <v>0</v>
      </c>
    </row>
    <row r="24" spans="1:12" x14ac:dyDescent="0.3">
      <c r="A24" s="47">
        <f>'2965D'!B27</f>
        <v>0</v>
      </c>
      <c r="B24" s="47">
        <f>'2965D'!C27</f>
        <v>0</v>
      </c>
      <c r="C24" s="47">
        <f>'2965D'!D27</f>
        <v>0</v>
      </c>
      <c r="D24" s="45">
        <f>'2965D'!E27+Formatted[[#This Row],[Date]]</f>
        <v>0</v>
      </c>
      <c r="E24" s="45">
        <f>'2965D'!F27+Formatted[[#This Row],[Date]]</f>
        <v>0</v>
      </c>
      <c r="F24" s="46">
        <f>ROUND((Formatted[[#This Row],[LandingTime]]-Formatted[[#This Row],[TakeOffTime]]) * 1440, 0)</f>
        <v>0</v>
      </c>
      <c r="G24" s="46" t="str">
        <f>'2965D'!O27</f>
        <v/>
      </c>
      <c r="H24" s="47" t="b">
        <v>0</v>
      </c>
      <c r="I24" s="47">
        <f>'2965D'!$F$1</f>
        <v>0</v>
      </c>
      <c r="J24" s="52">
        <f>'2965D'!$O$1</f>
        <v>0</v>
      </c>
      <c r="K24" t="b">
        <v>0</v>
      </c>
      <c r="L24" t="b">
        <v>0</v>
      </c>
    </row>
    <row r="25" spans="1:12" x14ac:dyDescent="0.3">
      <c r="A25" s="47">
        <f>'2965D'!B28</f>
        <v>0</v>
      </c>
      <c r="B25" s="47">
        <f>'2965D'!C28</f>
        <v>0</v>
      </c>
      <c r="C25" s="47">
        <f>'2965D'!D28</f>
        <v>0</v>
      </c>
      <c r="D25" s="45">
        <f>'2965D'!E28+Formatted[[#This Row],[Date]]</f>
        <v>0</v>
      </c>
      <c r="E25" s="45">
        <f>'2965D'!F28+Formatted[[#This Row],[Date]]</f>
        <v>0</v>
      </c>
      <c r="F25" s="46">
        <f>ROUND((Formatted[[#This Row],[LandingTime]]-Formatted[[#This Row],[TakeOffTime]]) * 1440, 0)</f>
        <v>0</v>
      </c>
      <c r="G25" s="46" t="str">
        <f>'2965D'!O28</f>
        <v/>
      </c>
      <c r="H25" s="47" t="b">
        <v>0</v>
      </c>
      <c r="I25" s="47">
        <f>'2965D'!$F$1</f>
        <v>0</v>
      </c>
      <c r="J25" s="52">
        <f>'2965D'!$O$1</f>
        <v>0</v>
      </c>
      <c r="K25" t="b">
        <v>0</v>
      </c>
      <c r="L25" t="b">
        <v>0</v>
      </c>
    </row>
    <row r="26" spans="1:12" x14ac:dyDescent="0.3">
      <c r="A26" s="47">
        <f>'2965D'!B29</f>
        <v>0</v>
      </c>
      <c r="B26" s="47">
        <f>'2965D'!C29</f>
        <v>0</v>
      </c>
      <c r="C26" s="47">
        <f>'2965D'!D29</f>
        <v>0</v>
      </c>
      <c r="D26" s="45">
        <f>'2965D'!E29+Formatted[[#This Row],[Date]]</f>
        <v>0</v>
      </c>
      <c r="E26" s="45">
        <f>'2965D'!F29+Formatted[[#This Row],[Date]]</f>
        <v>0</v>
      </c>
      <c r="F26" s="46">
        <f>ROUND((Formatted[[#This Row],[LandingTime]]-Formatted[[#This Row],[TakeOffTime]]) * 1440, 0)</f>
        <v>0</v>
      </c>
      <c r="G26" s="46" t="str">
        <f>'2965D'!O29</f>
        <v/>
      </c>
      <c r="H26" s="47" t="b">
        <v>0</v>
      </c>
      <c r="I26" s="47">
        <f>'2965D'!$F$1</f>
        <v>0</v>
      </c>
      <c r="J26" s="52">
        <f>'2965D'!$O$1</f>
        <v>0</v>
      </c>
      <c r="K26" t="b">
        <v>0</v>
      </c>
      <c r="L26" t="b">
        <v>0</v>
      </c>
    </row>
    <row r="27" spans="1:12" x14ac:dyDescent="0.3">
      <c r="A27" s="47">
        <f>'2965D'!B30</f>
        <v>0</v>
      </c>
      <c r="B27" s="47">
        <f>'2965D'!C30</f>
        <v>0</v>
      </c>
      <c r="C27" s="47">
        <f>'2965D'!D30</f>
        <v>0</v>
      </c>
      <c r="D27" s="45">
        <f>'2965D'!E30+Formatted[[#This Row],[Date]]</f>
        <v>0</v>
      </c>
      <c r="E27" s="45">
        <f>'2965D'!F30+Formatted[[#This Row],[Date]]</f>
        <v>0</v>
      </c>
      <c r="F27" s="46">
        <f>ROUND((Formatted[[#This Row],[LandingTime]]-Formatted[[#This Row],[TakeOffTime]]) * 1440, 0)</f>
        <v>0</v>
      </c>
      <c r="G27" s="46" t="str">
        <f>'2965D'!O30</f>
        <v/>
      </c>
      <c r="H27" s="47" t="b">
        <v>0</v>
      </c>
      <c r="I27" s="47">
        <f>'2965D'!$F$1</f>
        <v>0</v>
      </c>
      <c r="J27" s="52">
        <f>'2965D'!$O$1</f>
        <v>0</v>
      </c>
      <c r="K27" t="b">
        <v>0</v>
      </c>
      <c r="L27" t="b">
        <v>0</v>
      </c>
    </row>
    <row r="28" spans="1:12" x14ac:dyDescent="0.3">
      <c r="A28" s="47">
        <f>'2965D'!B31</f>
        <v>0</v>
      </c>
      <c r="B28" s="47">
        <f>'2965D'!C31</f>
        <v>0</v>
      </c>
      <c r="C28" s="47">
        <f>'2965D'!D31</f>
        <v>0</v>
      </c>
      <c r="D28" s="45">
        <f>'2965D'!E31+Formatted[[#This Row],[Date]]</f>
        <v>0</v>
      </c>
      <c r="E28" s="45">
        <f>'2965D'!F31+Formatted[[#This Row],[Date]]</f>
        <v>0</v>
      </c>
      <c r="F28" s="46">
        <f>ROUND((Formatted[[#This Row],[LandingTime]]-Formatted[[#This Row],[TakeOffTime]]) * 1440, 0)</f>
        <v>0</v>
      </c>
      <c r="G28" s="46" t="str">
        <f>'2965D'!O31</f>
        <v/>
      </c>
      <c r="H28" s="47" t="b">
        <v>0</v>
      </c>
      <c r="I28" s="47">
        <f>'2965D'!$F$1</f>
        <v>0</v>
      </c>
      <c r="J28" s="52">
        <f>'2965D'!$O$1</f>
        <v>0</v>
      </c>
      <c r="K28" t="b">
        <v>0</v>
      </c>
      <c r="L28" t="b">
        <v>0</v>
      </c>
    </row>
    <row r="29" spans="1:12" x14ac:dyDescent="0.3">
      <c r="A29" s="47">
        <f>'2965D'!B32</f>
        <v>0</v>
      </c>
      <c r="B29" s="47">
        <f>'2965D'!C32</f>
        <v>0</v>
      </c>
      <c r="C29" s="47">
        <f>'2965D'!D32</f>
        <v>0</v>
      </c>
      <c r="D29" s="45">
        <f>'2965D'!E32+Formatted[[#This Row],[Date]]</f>
        <v>0</v>
      </c>
      <c r="E29" s="45">
        <f>'2965D'!F32+Formatted[[#This Row],[Date]]</f>
        <v>0</v>
      </c>
      <c r="F29" s="46">
        <f>ROUND((Formatted[[#This Row],[LandingTime]]-Formatted[[#This Row],[TakeOffTime]]) * 1440, 0)</f>
        <v>0</v>
      </c>
      <c r="G29" s="46" t="str">
        <f>'2965D'!O32</f>
        <v/>
      </c>
      <c r="H29" s="47" t="b">
        <v>0</v>
      </c>
      <c r="I29" s="47">
        <f>'2965D'!$F$1</f>
        <v>0</v>
      </c>
      <c r="J29" s="52">
        <f>'2965D'!$O$1</f>
        <v>0</v>
      </c>
      <c r="K29" t="b">
        <v>0</v>
      </c>
      <c r="L29" t="b">
        <v>0</v>
      </c>
    </row>
    <row r="30" spans="1:12" x14ac:dyDescent="0.3">
      <c r="A30" s="47">
        <f>'2965D'!B33</f>
        <v>0</v>
      </c>
      <c r="B30" s="47">
        <f>'2965D'!C33</f>
        <v>0</v>
      </c>
      <c r="C30" s="47">
        <f>'2965D'!D33</f>
        <v>0</v>
      </c>
      <c r="D30" s="45">
        <f>'2965D'!E33+Formatted[[#This Row],[Date]]</f>
        <v>0</v>
      </c>
      <c r="E30" s="45">
        <f>'2965D'!F33+Formatted[[#This Row],[Date]]</f>
        <v>0</v>
      </c>
      <c r="F30" s="46">
        <f>ROUND((Formatted[[#This Row],[LandingTime]]-Formatted[[#This Row],[TakeOffTime]]) * 1440, 0)</f>
        <v>0</v>
      </c>
      <c r="G30" s="46" t="str">
        <f>'2965D'!O33</f>
        <v/>
      </c>
      <c r="H30" s="47" t="b">
        <v>0</v>
      </c>
      <c r="I30" s="47">
        <f>'2965D'!$F$1</f>
        <v>0</v>
      </c>
      <c r="J30" s="52">
        <f>'2965D'!$O$1</f>
        <v>0</v>
      </c>
      <c r="K30" t="b">
        <v>0</v>
      </c>
      <c r="L30" t="b">
        <v>0</v>
      </c>
    </row>
    <row r="31" spans="1:12" x14ac:dyDescent="0.3">
      <c r="A31" s="47">
        <f>'2965D'!B34</f>
        <v>0</v>
      </c>
      <c r="B31" s="47">
        <f>'2965D'!C34</f>
        <v>0</v>
      </c>
      <c r="C31" s="47">
        <f>'2965D'!D34</f>
        <v>0</v>
      </c>
      <c r="D31" s="45">
        <f>'2965D'!E34+Formatted[[#This Row],[Date]]</f>
        <v>0</v>
      </c>
      <c r="E31" s="45">
        <f>'2965D'!F34+Formatted[[#This Row],[Date]]</f>
        <v>0</v>
      </c>
      <c r="F31" s="46">
        <f>ROUND((Formatted[[#This Row],[LandingTime]]-Formatted[[#This Row],[TakeOffTime]]) * 1440, 0)</f>
        <v>0</v>
      </c>
      <c r="G31" s="46" t="str">
        <f>'2965D'!O34</f>
        <v/>
      </c>
      <c r="H31" s="47" t="b">
        <v>0</v>
      </c>
      <c r="I31" s="47">
        <f>'2965D'!$F$1</f>
        <v>0</v>
      </c>
      <c r="J31" s="52">
        <f>'2965D'!$O$1</f>
        <v>0</v>
      </c>
      <c r="K31" t="b">
        <v>0</v>
      </c>
      <c r="L31" t="b">
        <v>0</v>
      </c>
    </row>
    <row r="32" spans="1:12" x14ac:dyDescent="0.3">
      <c r="A32" s="47">
        <f>'2965D'!B35</f>
        <v>0</v>
      </c>
      <c r="B32" s="47">
        <f>'2965D'!C35</f>
        <v>0</v>
      </c>
      <c r="C32" s="47">
        <f>'2965D'!D35</f>
        <v>0</v>
      </c>
      <c r="D32" s="45">
        <f>'2965D'!E35+Formatted[[#This Row],[Date]]</f>
        <v>0</v>
      </c>
      <c r="E32" s="45">
        <f>'2965D'!F35+Formatted[[#This Row],[Date]]</f>
        <v>0</v>
      </c>
      <c r="F32" s="46">
        <f>ROUND((Formatted[[#This Row],[LandingTime]]-Formatted[[#This Row],[TakeOffTime]]) * 1440, 0)</f>
        <v>0</v>
      </c>
      <c r="G32" s="46" t="str">
        <f>'2965D'!O35</f>
        <v/>
      </c>
      <c r="H32" s="47" t="b">
        <v>0</v>
      </c>
      <c r="I32" s="47">
        <f>'2965D'!$F$1</f>
        <v>0</v>
      </c>
      <c r="J32" s="52">
        <f>'2965D'!$O$1</f>
        <v>0</v>
      </c>
      <c r="K32" t="b">
        <v>0</v>
      </c>
      <c r="L32" t="b">
        <v>0</v>
      </c>
    </row>
    <row r="33" spans="1:12" x14ac:dyDescent="0.3">
      <c r="A33" s="47">
        <f>'2965D'!B36</f>
        <v>0</v>
      </c>
      <c r="B33" s="47">
        <f>'2965D'!C36</f>
        <v>0</v>
      </c>
      <c r="C33" s="47">
        <f>'2965D'!D36</f>
        <v>0</v>
      </c>
      <c r="D33" s="45">
        <f>'2965D'!E36+Formatted[[#This Row],[Date]]</f>
        <v>0</v>
      </c>
      <c r="E33" s="45">
        <f>'2965D'!F36+Formatted[[#This Row],[Date]]</f>
        <v>0</v>
      </c>
      <c r="F33" s="46">
        <f>ROUND((Formatted[[#This Row],[LandingTime]]-Formatted[[#This Row],[TakeOffTime]]) * 1440, 0)</f>
        <v>0</v>
      </c>
      <c r="G33" s="46" t="str">
        <f>'2965D'!O36</f>
        <v/>
      </c>
      <c r="H33" s="47" t="b">
        <v>0</v>
      </c>
      <c r="I33" s="47">
        <f>'2965D'!$F$1</f>
        <v>0</v>
      </c>
      <c r="J33" s="52">
        <f>'2965D'!$O$1</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schemas.microsoft.com/office/2006/metadata/properties"/>
    <ds:schemaRef ds:uri="http://schemas.microsoft.com/office/infopath/2007/PartnerControls"/>
    <ds:schemaRef ds:uri="dd97f947-7d52-49e5-b3e0-698e4824ad16"/>
    <ds:schemaRef ds:uri="1b01beb4-0251-44fb-a6ff-5d52cac4f4af"/>
    <ds:schemaRef ds:uri="875ba578-886d-4752-9169-e010f98bcdf2"/>
    <ds:schemaRef ds:uri="49078254-ee6b-43b6-84cb-00b3a9850307"/>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2965D</vt:lpstr>
      <vt:lpstr>Print Copy</vt:lpstr>
      <vt:lpstr>Instructions</vt:lpstr>
      <vt:lpstr>Changelog</vt:lpstr>
      <vt:lpstr>INPUT_DATA</vt:lpstr>
      <vt:lpstr>FORMATTED</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Abbott, Daniel Fg Off (RAFAC-2FTS-VGS-661)</dc:creator>
  <cp:keywords/>
  <dc:description/>
  <cp:lastModifiedBy>Jennings, Michael APO (RAFAC-2FTS-VGS-661)</cp:lastModifiedBy>
  <cp:revision/>
  <cp:lastPrinted>2024-07-05T21:04:00Z</cp:lastPrinted>
  <dcterms:created xsi:type="dcterms:W3CDTF">2022-06-26T15:01:24Z</dcterms:created>
  <dcterms:modified xsi:type="dcterms:W3CDTF">2024-08-03T07:46:26Z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