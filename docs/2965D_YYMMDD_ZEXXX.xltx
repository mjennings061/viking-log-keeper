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workbookPr defaultThemeVersion="166925"/>
  <mc:AlternateContent xmlns:mc="http://schemas.openxmlformats.org/markup-compatibility/2006">
    <mc:Choice Requires="x15">
      <x15ac:absPath xmlns:x15ac="http://schemas.microsoft.com/office/spreadsheetml/2010/11/ac" url="C:\Users\mjenn\Royal Air Force Air Cadets\661 VGS - RAF Kirknewton - 661 Documents\Log Sheets\"/>
    </mc:Choice>
  </mc:AlternateContent>
  <xr:revisionPtr revIDLastSave="0" documentId="8_{7EE1E555-598D-461B-88EF-DF9E0D04F15F}" xr6:coauthVersionLast="47" xr6:coauthVersionMax="47" xr10:uidLastSave="{00000000-0000-0000-0000-000000000000}"/>
  <bookViews>
    <workbookView xWindow="-108" yWindow="-108" windowWidth="23256" windowHeight="12456" tabRatio="824" xr2:uid="{36C71D38-B5A6-4202-8790-25A8F3FD619B}"/>
  </bookViews>
  <sheets>
    <sheet name="2965D" sheetId="1" r:id="rId1"/>
    <sheet name="Instructions" sheetId="6" r:id="rId2"/>
    <sheet name="Changelog" sheetId="7" state="hidden" r:id="rId3"/>
    <sheet name="INPUT_DATA" sheetId="3" state="hidden" r:id="rId4"/>
    <sheet name="FORMATTED" sheetId="5" state="hidden" r:id="rId5"/>
  </sheets>
  <definedNames>
    <definedName name="ExternalData_1" localSheetId="0" hidden="1">'2965D'!#REF!</definedName>
    <definedName name="_xlnm.Print_Area" localSheetId="0">'2965D'!$A$1:$T$32</definedName>
    <definedName name="TotalHours">'2965D'!$G$52:$R$52</definedName>
    <definedName name="TotalLaunches">'2965D'!$G$53:$R$53</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1" i="1" l="1"/>
  <c r="K41" i="1"/>
  <c r="J42" i="1"/>
  <c r="K42" i="1"/>
  <c r="J43" i="1"/>
  <c r="K43" i="1"/>
  <c r="J44" i="1"/>
  <c r="K44" i="1"/>
  <c r="J45" i="1"/>
  <c r="K45" i="1"/>
  <c r="J46" i="1"/>
  <c r="K46" i="1"/>
  <c r="J47" i="1"/>
  <c r="K47" i="1"/>
  <c r="J48" i="1"/>
  <c r="K48" i="1"/>
  <c r="J49" i="1"/>
  <c r="K49" i="1"/>
  <c r="J50" i="1"/>
  <c r="K50" i="1"/>
  <c r="J51" i="1"/>
  <c r="K51" i="1"/>
  <c r="K40" i="1"/>
  <c r="J40" i="1"/>
  <c r="J6" i="1"/>
  <c r="J7" i="1"/>
  <c r="J8" i="1"/>
  <c r="J9" i="1"/>
  <c r="J10" i="1"/>
  <c r="J11" i="1"/>
  <c r="J12" i="1"/>
  <c r="J13" i="1"/>
  <c r="J14" i="1"/>
  <c r="J15" i="1"/>
  <c r="J16" i="1"/>
  <c r="J17" i="1"/>
  <c r="J18" i="1"/>
  <c r="J19" i="1"/>
  <c r="J20" i="1"/>
  <c r="J21" i="1"/>
  <c r="J22" i="1"/>
  <c r="J23" i="1"/>
  <c r="J24" i="1"/>
  <c r="J25" i="1"/>
  <c r="J26" i="1"/>
  <c r="J27" i="1"/>
  <c r="J5" i="1"/>
  <c r="K6" i="1"/>
  <c r="K7" i="1"/>
  <c r="K8" i="1"/>
  <c r="K9" i="1"/>
  <c r="K10" i="1"/>
  <c r="K11" i="1"/>
  <c r="K12" i="1"/>
  <c r="K13" i="1"/>
  <c r="K14" i="1"/>
  <c r="K15" i="1"/>
  <c r="K16" i="1"/>
  <c r="K17" i="1"/>
  <c r="K18" i="1"/>
  <c r="K19" i="1"/>
  <c r="K20" i="1"/>
  <c r="K21" i="1"/>
  <c r="K22" i="1"/>
  <c r="K23" i="1"/>
  <c r="K24" i="1"/>
  <c r="K25" i="1"/>
  <c r="K26" i="1"/>
  <c r="K27" i="1"/>
  <c r="K5" i="1"/>
  <c r="O14" i="1"/>
  <c r="G11" i="5" s="1"/>
  <c r="O41" i="1"/>
  <c r="P41" i="1" s="1"/>
  <c r="O42" i="1"/>
  <c r="P42" i="1" s="1"/>
  <c r="O43" i="1"/>
  <c r="Q43" i="1" s="1"/>
  <c r="O44" i="1"/>
  <c r="R44" i="1" s="1"/>
  <c r="O45" i="1"/>
  <c r="Q45" i="1" s="1"/>
  <c r="O46" i="1"/>
  <c r="Q46" i="1" s="1"/>
  <c r="O47" i="1"/>
  <c r="G32" i="5" s="1"/>
  <c r="O48" i="1"/>
  <c r="G33" i="5" s="1"/>
  <c r="O49" i="1"/>
  <c r="G34" i="5" s="1"/>
  <c r="O50" i="1"/>
  <c r="Q50" i="1" s="1"/>
  <c r="O51" i="1"/>
  <c r="Q51" i="1" s="1"/>
  <c r="O40" i="1"/>
  <c r="Q40" i="1" s="1"/>
  <c r="O6" i="1"/>
  <c r="R6" i="1" s="1"/>
  <c r="O7" i="1"/>
  <c r="P7" i="1" s="1"/>
  <c r="O8" i="1"/>
  <c r="O9" i="1"/>
  <c r="P9" i="1" s="1"/>
  <c r="O10" i="1"/>
  <c r="R10" i="1" s="1"/>
  <c r="O11" i="1"/>
  <c r="G8" i="5" s="1"/>
  <c r="O12" i="1"/>
  <c r="G9" i="5" s="1"/>
  <c r="O13" i="1"/>
  <c r="G10" i="5" s="1"/>
  <c r="O15" i="1"/>
  <c r="R15" i="1" s="1"/>
  <c r="O16" i="1"/>
  <c r="Q16" i="1" s="1"/>
  <c r="O17" i="1"/>
  <c r="G14" i="5" s="1"/>
  <c r="O18" i="1"/>
  <c r="G15" i="5" s="1"/>
  <c r="O19" i="1"/>
  <c r="G16" i="5" s="1"/>
  <c r="O20" i="1"/>
  <c r="G17" i="5" s="1"/>
  <c r="O21" i="1"/>
  <c r="R21" i="1" s="1"/>
  <c r="O22" i="1"/>
  <c r="O23" i="1"/>
  <c r="R23" i="1" s="1"/>
  <c r="O24" i="1"/>
  <c r="R24" i="1" s="1"/>
  <c r="O25" i="1"/>
  <c r="G22" i="5" s="1"/>
  <c r="O26" i="1"/>
  <c r="R26" i="1" s="1"/>
  <c r="O27" i="1"/>
  <c r="P27" i="1" s="1"/>
  <c r="O5" i="1"/>
  <c r="R5" i="1" s="1"/>
  <c r="J2" i="5"/>
  <c r="D2" i="5" s="1"/>
  <c r="N34" i="1"/>
  <c r="F34" i="1"/>
  <c r="L1" i="1"/>
  <c r="L34" i="1" s="1"/>
  <c r="A4" i="5"/>
  <c r="R40" i="1"/>
  <c r="P40" i="1"/>
  <c r="N41" i="1"/>
  <c r="I40" i="1"/>
  <c r="H40" i="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J34" i="5"/>
  <c r="D34" i="5" s="1"/>
  <c r="J35" i="5"/>
  <c r="D35" i="5" s="1"/>
  <c r="J36" i="5"/>
  <c r="D36"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A18" i="5"/>
  <c r="G26" i="5"/>
  <c r="C25" i="5"/>
  <c r="C26" i="5"/>
  <c r="C27" i="5"/>
  <c r="C28" i="5"/>
  <c r="C29" i="5"/>
  <c r="C30" i="5"/>
  <c r="C31" i="5"/>
  <c r="C32" i="5"/>
  <c r="C33" i="5"/>
  <c r="C34" i="5"/>
  <c r="C35" i="5"/>
  <c r="C36"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34" i="5"/>
  <c r="B35" i="5"/>
  <c r="B36"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34" i="5"/>
  <c r="A35" i="5"/>
  <c r="A36" i="5"/>
  <c r="A2" i="5"/>
  <c r="A3" i="5"/>
  <c r="A5" i="5"/>
  <c r="A6" i="5"/>
  <c r="A7" i="5"/>
  <c r="A8" i="5"/>
  <c r="A9" i="5"/>
  <c r="A10" i="5"/>
  <c r="A11" i="5"/>
  <c r="A12" i="5"/>
  <c r="A13" i="5"/>
  <c r="A14" i="5"/>
  <c r="A15" i="5"/>
  <c r="A16" i="5"/>
  <c r="A17" i="5"/>
  <c r="A19" i="5"/>
  <c r="A20" i="5"/>
  <c r="A21" i="5"/>
  <c r="A22" i="5"/>
  <c r="A23" i="5"/>
  <c r="A24" i="5"/>
  <c r="H5" i="1"/>
  <c r="H6" i="1"/>
  <c r="N51" i="1"/>
  <c r="I51" i="1"/>
  <c r="H51" i="1"/>
  <c r="G51" i="1"/>
  <c r="N50" i="1"/>
  <c r="I50" i="1"/>
  <c r="H50" i="1"/>
  <c r="G50" i="1"/>
  <c r="N49" i="1"/>
  <c r="I49" i="1"/>
  <c r="H49" i="1"/>
  <c r="G49" i="1"/>
  <c r="N48" i="1"/>
  <c r="I48" i="1"/>
  <c r="H48" i="1"/>
  <c r="G48" i="1"/>
  <c r="N47" i="1"/>
  <c r="I47" i="1"/>
  <c r="H47" i="1"/>
  <c r="G47" i="1"/>
  <c r="N46" i="1"/>
  <c r="I46" i="1"/>
  <c r="H46" i="1"/>
  <c r="G46" i="1"/>
  <c r="N45" i="1"/>
  <c r="I45" i="1"/>
  <c r="H45" i="1"/>
  <c r="G45" i="1"/>
  <c r="N44" i="1"/>
  <c r="I44" i="1"/>
  <c r="H44" i="1"/>
  <c r="G44" i="1"/>
  <c r="N43" i="1"/>
  <c r="I43" i="1"/>
  <c r="H43" i="1"/>
  <c r="G43" i="1"/>
  <c r="N42" i="1"/>
  <c r="I42" i="1"/>
  <c r="H42" i="1"/>
  <c r="G42" i="1"/>
  <c r="I41" i="1"/>
  <c r="H41" i="1"/>
  <c r="G41" i="1"/>
  <c r="N40" i="1"/>
  <c r="G40" i="1"/>
  <c r="G5" i="1"/>
  <c r="N6" i="1"/>
  <c r="N7" i="1"/>
  <c r="N8" i="1"/>
  <c r="N9" i="1"/>
  <c r="N10" i="1"/>
  <c r="N11" i="1"/>
  <c r="N12" i="1"/>
  <c r="N13" i="1"/>
  <c r="N14" i="1"/>
  <c r="N15" i="1"/>
  <c r="N16" i="1"/>
  <c r="N17" i="1"/>
  <c r="N18" i="1"/>
  <c r="N19" i="1"/>
  <c r="N20" i="1"/>
  <c r="N21" i="1"/>
  <c r="N22" i="1"/>
  <c r="N23" i="1"/>
  <c r="N24" i="1"/>
  <c r="N25" i="1"/>
  <c r="N26" i="1"/>
  <c r="N27" i="1"/>
  <c r="N5" i="1"/>
  <c r="G6" i="1"/>
  <c r="I6" i="1"/>
  <c r="G7" i="1"/>
  <c r="H7" i="1"/>
  <c r="I7" i="1"/>
  <c r="G8" i="1"/>
  <c r="H8" i="1"/>
  <c r="I8" i="1"/>
  <c r="G9" i="1"/>
  <c r="H9" i="1"/>
  <c r="I9" i="1"/>
  <c r="G10" i="1"/>
  <c r="H10" i="1"/>
  <c r="I10" i="1"/>
  <c r="G11" i="1"/>
  <c r="H11" i="1"/>
  <c r="I11" i="1"/>
  <c r="G12" i="1"/>
  <c r="H12" i="1"/>
  <c r="I12" i="1"/>
  <c r="G13" i="1"/>
  <c r="H13" i="1"/>
  <c r="I13" i="1"/>
  <c r="G14" i="1"/>
  <c r="H14" i="1"/>
  <c r="I14" i="1"/>
  <c r="G15" i="1"/>
  <c r="H15" i="1"/>
  <c r="I15" i="1"/>
  <c r="G16" i="1"/>
  <c r="H16" i="1"/>
  <c r="I16" i="1"/>
  <c r="G17" i="1"/>
  <c r="H17" i="1"/>
  <c r="I17"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I5" i="1"/>
  <c r="G35" i="5" l="1"/>
  <c r="Q48" i="1"/>
  <c r="P48" i="1"/>
  <c r="Q47" i="1"/>
  <c r="R43" i="1"/>
  <c r="R42" i="1"/>
  <c r="G25" i="5"/>
  <c r="R41" i="1"/>
  <c r="P51" i="1"/>
  <c r="G36" i="5"/>
  <c r="R50" i="1"/>
  <c r="P49" i="1"/>
  <c r="Q49" i="1"/>
  <c r="P47" i="1"/>
  <c r="G31" i="5"/>
  <c r="R46" i="1"/>
  <c r="G30" i="5"/>
  <c r="R45" i="1"/>
  <c r="G29" i="5"/>
  <c r="Q44" i="1"/>
  <c r="G28" i="5"/>
  <c r="P43" i="1"/>
  <c r="Q42" i="1"/>
  <c r="G27" i="5"/>
  <c r="Q41" i="1"/>
  <c r="R51" i="1"/>
  <c r="P50" i="1"/>
  <c r="R49" i="1"/>
  <c r="R48" i="1"/>
  <c r="P46" i="1"/>
  <c r="R47" i="1"/>
  <c r="P45" i="1"/>
  <c r="P44" i="1"/>
  <c r="Q27" i="1"/>
  <c r="R27" i="1"/>
  <c r="Q24" i="1"/>
  <c r="Q26" i="1"/>
  <c r="Q23" i="1"/>
  <c r="R25" i="1"/>
  <c r="Q25" i="1"/>
  <c r="E13" i="5"/>
  <c r="D13" i="5"/>
  <c r="E9" i="5"/>
  <c r="D9" i="5"/>
  <c r="P8" i="1"/>
  <c r="R8" i="1"/>
  <c r="G19" i="5"/>
  <c r="R22" i="1"/>
  <c r="Q22" i="1"/>
  <c r="Q21" i="1"/>
  <c r="Q20" i="1"/>
  <c r="R20" i="1"/>
  <c r="Q19" i="1"/>
  <c r="R19" i="1"/>
  <c r="R18" i="1"/>
  <c r="P17" i="1"/>
  <c r="Q17" i="1"/>
  <c r="R17" i="1"/>
  <c r="R16" i="1"/>
  <c r="P16" i="1"/>
  <c r="G13" i="5"/>
  <c r="Q13" i="1"/>
  <c r="Q12" i="1"/>
  <c r="Q11" i="1"/>
  <c r="R11" i="1"/>
  <c r="Q10" i="1"/>
  <c r="P10" i="1"/>
  <c r="G7" i="5"/>
  <c r="G6" i="5"/>
  <c r="Q8" i="1"/>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36" i="5"/>
  <c r="F36" i="5" s="1"/>
  <c r="E35" i="5"/>
  <c r="F35" i="5" s="1"/>
  <c r="E14" i="5"/>
  <c r="F14" i="5" s="1"/>
  <c r="E34" i="5"/>
  <c r="F34" i="5" s="1"/>
  <c r="R7" i="1"/>
  <c r="P6" i="1"/>
  <c r="G3" i="5"/>
  <c r="Q7" i="1"/>
  <c r="Q6" i="1"/>
  <c r="Q5" i="1"/>
  <c r="G4" i="5"/>
  <c r="Q18" i="1"/>
  <c r="R14" i="1"/>
  <c r="Q15" i="1"/>
  <c r="R13" i="1"/>
  <c r="Q14" i="1"/>
  <c r="R12" i="1"/>
  <c r="P11" i="1"/>
  <c r="G12" i="5"/>
  <c r="Q9" i="1"/>
  <c r="R9" i="1"/>
  <c r="P15" i="1"/>
  <c r="P14" i="1"/>
  <c r="P18" i="1"/>
  <c r="G21" i="5"/>
  <c r="P12" i="1"/>
  <c r="P13" i="1"/>
  <c r="P26" i="1"/>
  <c r="P24" i="1"/>
  <c r="G23" i="5"/>
  <c r="P25" i="1"/>
  <c r="P23" i="1"/>
  <c r="G24" i="5"/>
  <c r="G20" i="5"/>
  <c r="P22" i="1"/>
  <c r="P21" i="1"/>
  <c r="P20" i="1"/>
  <c r="P19" i="1"/>
  <c r="G18" i="5"/>
  <c r="G2" i="5"/>
  <c r="P5" i="1"/>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G28" i="1"/>
  <c r="I29" i="1"/>
  <c r="H28" i="1"/>
  <c r="H29" i="1"/>
  <c r="I28" i="1"/>
  <c r="G29" i="1"/>
  <c r="N29" i="1"/>
  <c r="N53" i="1" s="1"/>
  <c r="N28" i="1"/>
  <c r="N52" i="1" s="1"/>
  <c r="J29" i="1"/>
  <c r="K28" i="1"/>
  <c r="J28" i="1"/>
  <c r="P29" i="1" l="1"/>
  <c r="N38" i="1"/>
  <c r="N39" i="1"/>
  <c r="G53" i="1"/>
  <c r="G39" i="1"/>
  <c r="I52" i="1"/>
  <c r="I38" i="1"/>
  <c r="K52" i="1"/>
  <c r="K38" i="1"/>
  <c r="H53" i="1"/>
  <c r="H39" i="1"/>
  <c r="I53" i="1"/>
  <c r="I39" i="1"/>
  <c r="G52" i="1"/>
  <c r="G38" i="1"/>
  <c r="J52" i="1"/>
  <c r="J38" i="1"/>
  <c r="J53" i="1"/>
  <c r="J39" i="1"/>
  <c r="H52" i="1"/>
  <c r="H38" i="1"/>
  <c r="F13" i="5"/>
  <c r="F9" i="5"/>
  <c r="R29" i="1"/>
  <c r="Q29" i="1"/>
  <c r="R28" i="1"/>
  <c r="P28" i="1"/>
  <c r="Q28" i="1"/>
  <c r="K29" i="1"/>
  <c r="K39" i="1" s="1"/>
  <c r="Q53" i="1" l="1"/>
  <c r="Q39" i="1"/>
  <c r="Q52" i="1"/>
  <c r="Q38" i="1"/>
  <c r="R52" i="1"/>
  <c r="R38" i="1"/>
  <c r="P53" i="1"/>
  <c r="P39" i="1"/>
  <c r="R53" i="1"/>
  <c r="R39" i="1"/>
  <c r="P52" i="1"/>
  <c r="P38" i="1"/>
  <c r="K53" i="1"/>
  <c r="I55" i="1" l="1"/>
  <c r="I57" i="1" s="1"/>
  <c r="R55" i="1"/>
  <c r="R5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1" authorId="0" shapeId="0" xr:uid="{7FF81186-744E-438C-9B42-4840C19F9209}">
      <text>
        <r>
          <rPr>
            <b/>
            <sz val="9"/>
            <color indexed="81"/>
            <rFont val="Tahoma"/>
            <family val="2"/>
          </rPr>
          <t>Chris White:</t>
        </r>
        <r>
          <rPr>
            <sz val="9"/>
            <color indexed="81"/>
            <rFont val="Tahoma"/>
            <family val="2"/>
          </rPr>
          <t xml:space="preserve">
Use CTRL+; to enter the date</t>
        </r>
      </text>
    </comment>
    <comment ref="B2" authorId="0" shapeId="0" xr:uid="{CC903748-C966-4B7D-B2BA-08366E1A27B3}">
      <text>
        <r>
          <rPr>
            <sz val="11"/>
            <color theme="1"/>
            <rFont val="Calibri"/>
            <family val="2"/>
            <scheme val="minor"/>
          </rPr>
          <t xml:space="preserve">Chris White:
Select pilot from drop down list. Add a pilot in the hidden DATA sheet if required.
</t>
        </r>
      </text>
    </comment>
    <comment ref="C2" authorId="0" shapeId="0" xr:uid="{A7AEC074-C38F-4ABA-B44A-00057C6AC293}">
      <text>
        <r>
          <rPr>
            <b/>
            <sz val="9"/>
            <color indexed="81"/>
            <rFont val="Tahoma"/>
            <family val="2"/>
          </rPr>
          <t>Chris White:</t>
        </r>
        <r>
          <rPr>
            <sz val="9"/>
            <color indexed="81"/>
            <rFont val="Tahoma"/>
            <family val="2"/>
          </rPr>
          <t xml:space="preserve">
Type surname</t>
        </r>
      </text>
    </comment>
    <comment ref="D2" authorId="0" shapeId="0" xr:uid="{197224AE-7EE6-40F6-9F71-ABF80807EE08}">
      <text>
        <r>
          <rPr>
            <b/>
            <sz val="9"/>
            <color indexed="81"/>
            <rFont val="Tahoma"/>
            <family val="2"/>
          </rPr>
          <t>Chris White:</t>
        </r>
        <r>
          <rPr>
            <sz val="9"/>
            <color indexed="81"/>
            <rFont val="Tahoma"/>
            <family val="2"/>
          </rPr>
          <t xml:space="preserve">
Choose duty from the drop down list</t>
        </r>
      </text>
    </comment>
    <comment ref="E2" authorId="0" shapeId="0" xr:uid="{EDB7AE6F-47FF-4753-B4E9-E68B706AE89E}">
      <text>
        <r>
          <rPr>
            <b/>
            <sz val="9"/>
            <color indexed="81"/>
            <rFont val="Tahoma"/>
            <family val="2"/>
          </rPr>
          <t>Chris White:</t>
        </r>
        <r>
          <rPr>
            <sz val="9"/>
            <color indexed="81"/>
            <rFont val="Tahoma"/>
            <family val="2"/>
          </rPr>
          <t xml:space="preserve">
Use CTR+SHIFT+; to enter the time of landing</t>
        </r>
      </text>
    </comment>
    <comment ref="F2" authorId="0" shapeId="0" xr:uid="{5DD7F8D5-F565-4D49-A441-96AE9B02D7FB}">
      <text>
        <r>
          <rPr>
            <b/>
            <sz val="9"/>
            <color indexed="81"/>
            <rFont val="Tahoma"/>
            <family val="2"/>
          </rPr>
          <t>Chris White:</t>
        </r>
        <r>
          <rPr>
            <sz val="9"/>
            <color indexed="81"/>
            <rFont val="Tahoma"/>
            <family val="2"/>
          </rPr>
          <t xml:space="preserve">
Use CTR+SHIFT+; to enter the time of landing</t>
        </r>
      </text>
    </comment>
    <comment ref="D4" authorId="0" shapeId="0" xr:uid="{D76B8388-8FB3-4750-B539-60DADBBF3EF6}">
      <text>
        <r>
          <rPr>
            <b/>
            <sz val="9"/>
            <color indexed="81"/>
            <rFont val="Tahoma"/>
            <family val="2"/>
          </rPr>
          <t>Chris White:</t>
        </r>
        <r>
          <rPr>
            <sz val="9"/>
            <color indexed="81"/>
            <rFont val="Tahoma"/>
            <family val="2"/>
          </rPr>
          <t xml:space="preserve">
Choose duty from the drop down list</t>
        </r>
      </text>
    </comment>
    <comment ref="L4" authorId="1" shapeId="0" xr:uid="{E553E72B-7E0F-47DA-BBAE-EBD6575271BE}">
      <text>
        <r>
          <rPr>
            <b/>
            <sz val="9"/>
            <color indexed="81"/>
            <rFont val="Tahoma"/>
            <charset val="1"/>
          </rPr>
          <t>Michael Jennings:</t>
        </r>
        <r>
          <rPr>
            <sz val="9"/>
            <color indexed="81"/>
            <rFont val="Tahoma"/>
            <charset val="1"/>
          </rPr>
          <t xml:space="preserve">
Tick the pilot claiming the SCT e.g. P2 is 2nd pilot</t>
        </r>
      </text>
    </comment>
    <comment ref="B35" authorId="0" shapeId="0" xr:uid="{E77A6A03-C6D3-45EF-8EC2-B2F9F3CF8AE1}">
      <text>
        <r>
          <rPr>
            <sz val="11"/>
            <color theme="1"/>
            <rFont val="Calibri"/>
            <family val="2"/>
            <scheme val="minor"/>
          </rPr>
          <t xml:space="preserve">Chris White:
Select pilot from drop down list. Add a pilot in the hidden DATA sheet if required.
</t>
        </r>
      </text>
    </comment>
    <comment ref="C35" authorId="0" shapeId="0" xr:uid="{F6F0EA8E-3CA1-4145-8CCD-8C336BEA20F8}">
      <text>
        <r>
          <rPr>
            <b/>
            <sz val="9"/>
            <color indexed="81"/>
            <rFont val="Tahoma"/>
            <family val="2"/>
          </rPr>
          <t>Chris White:</t>
        </r>
        <r>
          <rPr>
            <sz val="9"/>
            <color indexed="81"/>
            <rFont val="Tahoma"/>
            <family val="2"/>
          </rPr>
          <t xml:space="preserve">
Type surname</t>
        </r>
      </text>
    </comment>
    <comment ref="D35" authorId="0" shapeId="0" xr:uid="{D10DCD2E-370C-4D3B-B22F-F396F2454BDC}">
      <text>
        <r>
          <rPr>
            <b/>
            <sz val="9"/>
            <color indexed="81"/>
            <rFont val="Tahoma"/>
            <family val="2"/>
          </rPr>
          <t>Chris White:</t>
        </r>
        <r>
          <rPr>
            <sz val="9"/>
            <color indexed="81"/>
            <rFont val="Tahoma"/>
            <family val="2"/>
          </rPr>
          <t xml:space="preserve">
Choose duty from the drop down list</t>
        </r>
      </text>
    </comment>
    <comment ref="E35" authorId="0" shapeId="0" xr:uid="{553019A5-3111-40D7-B375-3E834D742520}">
      <text>
        <r>
          <rPr>
            <b/>
            <sz val="9"/>
            <color indexed="81"/>
            <rFont val="Tahoma"/>
            <family val="2"/>
          </rPr>
          <t>Chris White:</t>
        </r>
        <r>
          <rPr>
            <sz val="9"/>
            <color indexed="81"/>
            <rFont val="Tahoma"/>
            <family val="2"/>
          </rPr>
          <t xml:space="preserve">
Use CTR+SHIFT+; to enter the time of landing</t>
        </r>
      </text>
    </comment>
    <comment ref="F35" authorId="0" shapeId="0" xr:uid="{36701021-8A39-4019-A2E5-F8DF73EF8269}">
      <text>
        <r>
          <rPr>
            <b/>
            <sz val="9"/>
            <color indexed="81"/>
            <rFont val="Tahoma"/>
            <family val="2"/>
          </rPr>
          <t>Chris White:</t>
        </r>
        <r>
          <rPr>
            <sz val="9"/>
            <color indexed="81"/>
            <rFont val="Tahoma"/>
            <family val="2"/>
          </rPr>
          <t xml:space="preserve">
Use CTR+SHIFT+; to enter the time of landing</t>
        </r>
      </text>
    </comment>
    <comment ref="D37" authorId="0" shapeId="0" xr:uid="{A6C08064-2729-4F5B-AB61-EE51D7702BDF}">
      <text>
        <r>
          <rPr>
            <b/>
            <sz val="9"/>
            <color indexed="81"/>
            <rFont val="Tahoma"/>
            <family val="2"/>
          </rPr>
          <t>Chris White:</t>
        </r>
        <r>
          <rPr>
            <sz val="9"/>
            <color indexed="81"/>
            <rFont val="Tahoma"/>
            <family val="2"/>
          </rPr>
          <t xml:space="preserve">
Choose duty from the drop down list</t>
        </r>
      </text>
    </comment>
    <comment ref="I56" authorId="1" shapeId="0" xr:uid="{E1FACA16-7F8C-458C-A73E-C344EF496E0D}">
      <text>
        <r>
          <rPr>
            <b/>
            <sz val="9"/>
            <color indexed="81"/>
            <rFont val="Tahoma"/>
            <charset val="1"/>
          </rPr>
          <t>Michael Jennings:</t>
        </r>
        <r>
          <rPr>
            <sz val="9"/>
            <color indexed="81"/>
            <rFont val="Tahoma"/>
            <charset val="1"/>
          </rPr>
          <t xml:space="preserve">
Add the hours before flight from the F724 running log.</t>
        </r>
      </text>
    </comment>
    <comment ref="R56" authorId="1" shapeId="0" xr:uid="{DA02E758-42F7-477E-AFEA-33E42165654E}">
      <text>
        <r>
          <rPr>
            <b/>
            <sz val="9"/>
            <color indexed="81"/>
            <rFont val="Tahoma"/>
            <charset val="1"/>
          </rPr>
          <t>Michael Jennings:</t>
        </r>
        <r>
          <rPr>
            <sz val="9"/>
            <color indexed="81"/>
            <rFont val="Tahoma"/>
            <charset val="1"/>
          </rPr>
          <t xml:space="preserve">
Add the launches before flight from the F724 running log.</t>
        </r>
      </text>
    </comment>
  </commentList>
</comments>
</file>

<file path=xl/sharedStrings.xml><?xml version="1.0" encoding="utf-8"?>
<sst xmlns="http://schemas.openxmlformats.org/spreadsheetml/2006/main" count="174" uniqueCount="130">
  <si>
    <t>Enter aircraft number and date along the top</t>
  </si>
  <si>
    <t>At the end of the day, ensure this file is saved to "661 VGS Sharepoint &gt; 661 VGS Documents &gt; Log Sheets" or emailed to the stats/GUR individual</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</si>
  <si>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</si>
  <si>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</si>
  <si>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</si>
  <si>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</si>
  <si>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</si>
  <si>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</si>
  <si>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</si>
  <si>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</si>
  <si>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</si>
  <si>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</si>
  <si>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</si>
  <si>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</si>
  <si>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</si>
  <si>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</si>
  <si>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</si>
  <si>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</si>
  <si>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</si>
  <si>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</si>
  <si>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</si>
  <si>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</si>
  <si>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</si>
  <si>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</si>
  <si>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</si>
  <si>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</si>
  <si>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</si>
  <si>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</si>
  <si>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</si>
  <si>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</si>
  <si>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</si>
  <si>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</si>
  <si>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r>
      <rPr>
        <b/>
        <sz val="11"/>
        <color theme="1"/>
        <rFont val="Arial"/>
        <family val="2"/>
      </rPr>
      <t xml:space="preserve">
SORTIE PROFILE CODES (SPC)
</t>
    </r>
    <r>
      <rPr>
        <sz val="11"/>
        <color theme="1"/>
        <rFont val="Arial"/>
        <family val="2"/>
      </rPr>
      <t>1.   Winch launch with circuits
6.   Winch launch with soaring
7.   Winch launch with aerobatics</t>
    </r>
  </si>
  <si>
    <t>Carry Forward</t>
  </si>
  <si>
    <t>Hours</t>
  </si>
  <si>
    <t>Launches</t>
  </si>
  <si>
    <t>Brought Forward</t>
  </si>
  <si>
    <t>Total Hours</t>
  </si>
  <si>
    <t>Total Launches</t>
  </si>
  <si>
    <t>Total hours</t>
  </si>
  <si>
    <t>Total launches</t>
  </si>
  <si>
    <t>Hours B/F from F724</t>
  </si>
  <si>
    <t>Launches B/F from F724</t>
  </si>
  <si>
    <t>Hours C/F from F724</t>
  </si>
  <si>
    <t>Launches C/F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</si>
  <si>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</si>
  <si>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</si>
  <si>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</si>
  <si>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</si>
  <si>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</si>
  <si>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</si>
  <si>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</si>
  <si>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</si>
  <si>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</si>
  <si>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</si>
  <si>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</si>
  <si>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</si>
  <si>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</si>
  <si>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</si>
  <si>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</si>
  <si>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</si>
  <si>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</si>
  <si>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</si>
  <si>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</si>
  <si>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</si>
  <si>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</si>
  <si>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</si>
  <si>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</si>
  <si>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</si>
  <si>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</si>
  <si>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</si>
  <si>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</si>
  <si>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</si>
  <si>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</si>
  <si>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</si>
  <si>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Avann</t>
  </si>
  <si>
    <t>Baker</t>
  </si>
  <si>
    <t>SCT QGI</t>
  </si>
  <si>
    <t>Birrell</t>
  </si>
  <si>
    <t>SCT U/T</t>
  </si>
  <si>
    <t>Blair</t>
  </si>
  <si>
    <t>PAX</t>
  </si>
  <si>
    <t>Burton</t>
  </si>
  <si>
    <t>Carr</t>
  </si>
  <si>
    <t>Cave</t>
  </si>
  <si>
    <t>Delaney</t>
  </si>
  <si>
    <t>Eagleson</t>
  </si>
  <si>
    <t>Gallagher</t>
  </si>
  <si>
    <t>Goddard</t>
  </si>
  <si>
    <t>Gunning</t>
  </si>
  <si>
    <t>Henderson</t>
  </si>
  <si>
    <t>Henstock</t>
  </si>
  <si>
    <t>Jennings</t>
  </si>
  <si>
    <t>Law</t>
  </si>
  <si>
    <t>Lewis</t>
  </si>
  <si>
    <t>Link</t>
  </si>
  <si>
    <t>MacGregor</t>
  </si>
  <si>
    <t>Maisey</t>
  </si>
  <si>
    <t>McCormick</t>
  </si>
  <si>
    <t>McNeill</t>
  </si>
  <si>
    <t>Mockeridge</t>
  </si>
  <si>
    <t>Nichols</t>
  </si>
  <si>
    <t>Parker</t>
  </si>
  <si>
    <t>Patterson</t>
  </si>
  <si>
    <t>Phillips</t>
  </si>
  <si>
    <t>Ritchie</t>
  </si>
  <si>
    <t>Soutar</t>
  </si>
  <si>
    <t>Suggett</t>
  </si>
  <si>
    <t>Toland</t>
  </si>
  <si>
    <t>Tuach</t>
  </si>
  <si>
    <t>Walker</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</si>
  <si>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</si>
  <si>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</si>
  <si>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</si>
  <si>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</si>
  <si>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</si>
  <si>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</si>
  <si>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</si>
  <si>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</si>
  <si>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</si>
  <si>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</si>
  <si>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</si>
  <si>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</si>
  <si>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</si>
  <si>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</si>
  <si>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</si>
  <si>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Run the flow (on desktop &gt; "run flow")</t>
  </si>
  <si>
    <t>Instructions for use - Version 1.4.2</t>
  </si>
  <si>
    <t>If you really need to, the editing password is "Viking"</t>
  </si>
  <si>
    <t>Fixed formula in total launches boxes using COUNTA instead of 23-COUNTBLANK. 
Changed duty back to G/S, AGT.
Simpified instructions.
Added locked cells and password-protected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</si>
</sst>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h]:mm"/>
    <numFmt numFmtId="165" formatCode="[h]:mm"/>
    <numFmt numFmtId="166" formatCode="[$-F400]h:mm:ss\ AM/PM"/>
  </numFmts>
  <fonts count="20"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ont>
    <font>
      <sz val="11"/>
      <color rgb="FFFF0000"/>
      <name val="Calibri"/>
      <family val="2"/>
      <scheme val="minor"/>
    </font>
    <font>
      <sz val="9"/>
      <color indexed="81"/>
      <name val="Tahoma"/>
      <charset val="1"/>
    </font>
    <font>
      <b/>
      <sz val="9"/>
      <color indexed="81"/>
      <name val="Tahoma"/>
      <charset val="1"/>
    </font>
    <font>
      <sz val="11"/>
      <color rgb="FF000000"/>
      <name val="Calibri"/>
      <family val="2"/>
    </font>
  </fonts>
  <fills count="3">
    <fill>
      <patternFill patternType="none"/>
    </fill>
    <fill>
      <patternFill patternType="gray125"/>
    </fill>
    <fill>
      <patternFill patternType="solid">
        <fgColor rgb="FFD9D9D9"/>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rgb="FF000000"/>
      </left>
      <right style="thin">
        <color indexed="64"/>
      </right>
      <top style="medium">
        <color rgb="FF000000"/>
      </top>
      <bottom style="medium">
        <color rgb="FF000000"/>
      </bottom>
      <diagonal/>
    </border>
    <border>
      <left style="thin">
        <color indexed="64"/>
      </left>
      <right style="thin">
        <color indexed="64"/>
      </right>
      <top style="medium">
        <color rgb="FF000000"/>
      </top>
      <bottom style="medium">
        <color rgb="FF000000"/>
      </bottom>
      <diagonal/>
    </border>
    <border>
      <left style="thin">
        <color indexed="64"/>
      </left>
      <right style="medium">
        <color rgb="FF000000"/>
      </right>
      <top style="medium">
        <color rgb="FF000000"/>
      </top>
      <bottom style="medium">
        <color rgb="FF000000"/>
      </bottom>
      <diagonal/>
    </border>
    <border>
      <left style="thick">
        <color rgb="FF000000"/>
      </left>
      <right style="thin">
        <color rgb="FF000000"/>
      </right>
      <top style="thick">
        <color rgb="FF000000"/>
      </top>
      <bottom style="thick">
        <color rgb="FF000000"/>
      </bottom>
      <diagonal/>
    </border>
    <border>
      <left style="thin">
        <color rgb="FF000000"/>
      </left>
      <right style="thin">
        <color rgb="FF000000"/>
      </right>
      <top style="thick">
        <color rgb="FF000000"/>
      </top>
      <bottom style="thick">
        <color rgb="FF000000"/>
      </bottom>
      <diagonal/>
    </border>
    <border>
      <left style="thin">
        <color rgb="FF000000"/>
      </left>
      <right style="thick">
        <color rgb="FF000000"/>
      </right>
      <top style="thick">
        <color rgb="FF000000"/>
      </top>
      <bottom style="thick">
        <color rgb="FF000000"/>
      </bottom>
      <diagonal/>
    </border>
    <border>
      <left style="thick">
        <color rgb="FF000000"/>
      </left>
      <right style="thin">
        <color rgb="FF000000"/>
      </right>
      <top/>
      <bottom/>
      <diagonal/>
    </border>
    <border>
      <left style="thin">
        <color rgb="FF000000"/>
      </left>
      <right style="thin">
        <color rgb="FF000000"/>
      </right>
      <top/>
      <bottom/>
      <diagonal/>
    </border>
    <border>
      <left style="thin">
        <color rgb="FF000000"/>
      </left>
      <right style="thick">
        <color rgb="FF000000"/>
      </right>
      <top/>
      <bottom/>
      <diagonal/>
    </border>
    <border>
      <left style="thin">
        <color rgb="FF000000"/>
      </left>
      <right/>
      <top style="thick">
        <color rgb="FF000000"/>
      </top>
      <bottom style="thick">
        <color rgb="FF000000"/>
      </bottom>
      <diagonal/>
    </border>
    <border>
      <left style="thin">
        <color rgb="FF000000"/>
      </left>
      <right/>
      <top/>
      <bottom/>
      <diagonal/>
    </border>
    <border>
      <left/>
      <right style="thin">
        <color rgb="FF000000"/>
      </right>
      <top style="thick">
        <color rgb="FF000000"/>
      </top>
      <bottom style="thick">
        <color rgb="FF000000"/>
      </bottom>
      <diagonal/>
    </border>
    <border>
      <left/>
      <right style="thin">
        <color rgb="FF000000"/>
      </right>
      <top/>
      <bottom/>
      <diagonal/>
    </border>
    <border>
      <left style="medium">
        <color indexed="64"/>
      </left>
      <right/>
      <top/>
      <bottom/>
      <diagonal/>
    </border>
  </borders>
  <cellStyleXfs count="2">
    <xf numFmtId="0" fontId="0" fillId="0" borderId="0"/>
    <xf numFmtId="0" fontId="11" fillId="0" borderId="0" applyNumberFormat="0" applyFill="0" applyBorder="0" applyAlignment="0" applyProtection="0"/>
  </cellStyleXfs>
  <cellXfs count="224">
    <xf numFmtId="0" fontId="0" fillId="0" borderId="0" xfId="0"/>
    <xf numFmtId="0" fontId="1" fillId="0" borderId="0" xfId="0" applyFont="1" applyProtection="1">
      <protection locked="0"/>
    </xf>
    <xf numFmtId="0" fontId="2" fillId="0" borderId="0" xfId="0" applyFont="1" applyAlignment="1" applyProtection="1">
      <alignment horizontal="center"/>
      <protection locked="0"/>
    </xf>
    <xf numFmtId="0" fontId="2" fillId="0" borderId="0" xfId="0" applyFont="1" applyProtection="1">
      <protection locked="0"/>
    </xf>
    <xf numFmtId="0" fontId="1" fillId="0" borderId="5" xfId="0" applyFont="1" applyBorder="1" applyAlignment="1" applyProtection="1">
      <alignment horizontal="center"/>
      <protection locked="0"/>
    </xf>
    <xf numFmtId="0" fontId="1" fillId="0" borderId="6" xfId="0" applyFont="1" applyBorder="1" applyAlignment="1" applyProtection="1">
      <alignment horizontal="center"/>
      <protection locked="0"/>
    </xf>
    <xf numFmtId="0" fontId="1" fillId="0" borderId="29"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 xfId="0" applyFont="1" applyBorder="1" applyAlignment="1" applyProtection="1">
      <alignment horizontal="center"/>
      <protection locked="0"/>
    </xf>
    <xf numFmtId="0" fontId="1" fillId="0" borderId="30" xfId="0" applyFont="1" applyBorder="1" applyAlignment="1" applyProtection="1">
      <alignment horizontal="center"/>
      <protection locked="0"/>
    </xf>
    <xf numFmtId="0" fontId="1" fillId="0" borderId="33"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34" xfId="0" applyFont="1" applyBorder="1" applyAlignment="1" applyProtection="1">
      <alignment horizontal="center"/>
      <protection locked="0"/>
    </xf>
    <xf numFmtId="0" fontId="1" fillId="0" borderId="6" xfId="0" applyFont="1" applyBorder="1" applyProtection="1">
      <protection locked="0"/>
    </xf>
    <xf numFmtId="0" fontId="1" fillId="0" borderId="15" xfId="0" applyFont="1" applyBorder="1" applyAlignment="1" applyProtection="1">
      <alignment horizontal="center"/>
      <protection locked="0"/>
    </xf>
    <xf numFmtId="20" fontId="1" fillId="0" borderId="19" xfId="0" applyNumberFormat="1" applyFont="1" applyBorder="1" applyAlignment="1" applyProtection="1">
      <alignment horizontal="center"/>
      <protection locked="0"/>
    </xf>
    <xf numFmtId="0" fontId="5" fillId="0" borderId="25" xfId="0" applyFont="1" applyBorder="1" applyAlignment="1" applyProtection="1">
      <alignment horizontal="center"/>
      <protection locked="0"/>
    </xf>
    <xf numFmtId="0" fontId="1" fillId="0" borderId="1" xfId="0" applyFont="1" applyBorder="1" applyProtection="1">
      <protection locked="0"/>
    </xf>
    <xf numFmtId="0" fontId="1" fillId="0" borderId="16" xfId="0" applyFont="1" applyBorder="1" applyAlignment="1" applyProtection="1">
      <alignment horizontal="center"/>
      <protection locked="0"/>
    </xf>
    <xf numFmtId="20" fontId="1" fillId="0" borderId="40" xfId="0" applyNumberFormat="1" applyFont="1" applyBorder="1" applyAlignment="1" applyProtection="1">
      <alignment horizontal="center"/>
      <protection locked="0"/>
    </xf>
    <xf numFmtId="0" fontId="5" fillId="0" borderId="26"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1" fillId="0" borderId="11" xfId="0" applyFont="1" applyBorder="1" applyProtection="1">
      <protection locked="0"/>
    </xf>
    <xf numFmtId="0" fontId="1" fillId="0" borderId="17" xfId="0" applyFont="1" applyBorder="1" applyAlignment="1" applyProtection="1">
      <alignment horizontal="center"/>
      <protection locked="0"/>
    </xf>
    <xf numFmtId="20" fontId="1" fillId="0" borderId="41" xfId="0" applyNumberFormat="1" applyFont="1" applyBorder="1" applyAlignment="1" applyProtection="1">
      <alignment horizontal="center"/>
      <protection locked="0"/>
    </xf>
    <xf numFmtId="0" fontId="1" fillId="0" borderId="11" xfId="0" applyFont="1" applyBorder="1" applyAlignment="1" applyProtection="1">
      <alignment horizontal="center"/>
      <protection locked="0"/>
    </xf>
    <xf numFmtId="0" fontId="5" fillId="0" borderId="27"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4" xfId="0" applyFont="1" applyBorder="1" applyProtection="1">
      <protection locked="0"/>
    </xf>
    <xf numFmtId="0" fontId="1" fillId="0" borderId="18" xfId="0" applyFont="1" applyBorder="1" applyAlignment="1" applyProtection="1">
      <alignment horizontal="center"/>
      <protection locked="0"/>
    </xf>
    <xf numFmtId="0" fontId="1" fillId="0" borderId="4" xfId="0" applyFont="1" applyBorder="1" applyAlignment="1" applyProtection="1">
      <alignment horizontal="center"/>
      <protection locked="0"/>
    </xf>
    <xf numFmtId="0" fontId="5" fillId="0" borderId="28" xfId="0" applyFont="1" applyBorder="1" applyAlignment="1" applyProtection="1">
      <alignment horizontal="center"/>
      <protection locked="0"/>
    </xf>
    <xf numFmtId="0" fontId="1" fillId="0" borderId="3" xfId="0" applyFont="1" applyBorder="1" applyProtection="1">
      <protection locked="0"/>
    </xf>
    <xf numFmtId="20" fontId="1" fillId="0" borderId="20" xfId="0" applyNumberFormat="1" applyFont="1" applyBorder="1" applyAlignment="1" applyProtection="1">
      <alignment horizontal="center"/>
      <protection locked="0"/>
    </xf>
    <xf numFmtId="0" fontId="5" fillId="0" borderId="38" xfId="0" applyFont="1" applyBorder="1" applyAlignment="1" applyProtection="1">
      <alignment horizontal="center"/>
      <protection locked="0"/>
    </xf>
    <xf numFmtId="20" fontId="1" fillId="0" borderId="39" xfId="0" applyNumberFormat="1" applyFont="1" applyBorder="1" applyAlignment="1" applyProtection="1">
      <alignment horizontal="center"/>
      <protection locked="0"/>
    </xf>
    <xf numFmtId="0" fontId="1" fillId="0" borderId="0" xfId="0" applyFont="1" applyAlignment="1" applyProtection="1">
      <alignment horizontal="left" vertical="top" wrapText="1"/>
      <protection locked="0"/>
    </xf>
    <xf numFmtId="0" fontId="3" fillId="0" borderId="39" xfId="0" applyFont="1" applyBorder="1" applyAlignment="1" applyProtection="1">
      <alignment horizontal="right" vertical="center"/>
      <protection locked="0"/>
    </xf>
    <xf numFmtId="0" fontId="3" fillId="0" borderId="20" xfId="0" applyFont="1" applyBorder="1" applyAlignment="1" applyProtection="1">
      <alignment horizontal="center" vertical="center"/>
      <protection locked="0"/>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7" xfId="0" applyNumberFormat="1" applyFont="1" applyBorder="1" applyAlignment="1">
      <alignment horizontal="center"/>
    </xf>
    <xf numFmtId="165" fontId="1" fillId="0" borderId="15" xfId="0" applyNumberFormat="1" applyFont="1" applyBorder="1" applyAlignment="1">
      <alignment horizontal="center"/>
    </xf>
    <xf numFmtId="165" fontId="1" fillId="0" borderId="8" xfId="0" applyNumberFormat="1" applyFont="1" applyBorder="1" applyAlignment="1">
      <alignment horizontal="center"/>
    </xf>
    <xf numFmtId="165" fontId="1" fillId="0" borderId="1" xfId="0" applyNumberFormat="1" applyFont="1" applyBorder="1" applyAlignment="1">
      <alignment horizontal="center"/>
    </xf>
    <xf numFmtId="165" fontId="1" fillId="0" borderId="9" xfId="0" applyNumberFormat="1" applyFont="1" applyBorder="1" applyAlignment="1">
      <alignment horizontal="center"/>
    </xf>
    <xf numFmtId="165" fontId="1" fillId="0" borderId="16" xfId="0" applyNumberFormat="1" applyFont="1" applyBorder="1" applyAlignment="1">
      <alignment horizontal="center"/>
    </xf>
    <xf numFmtId="165" fontId="1" fillId="0" borderId="33" xfId="0" applyNumberFormat="1" applyFont="1" applyBorder="1" applyAlignment="1">
      <alignment horizontal="center"/>
    </xf>
    <xf numFmtId="165" fontId="1" fillId="0" borderId="3" xfId="0" applyNumberFormat="1" applyFont="1" applyBorder="1" applyAlignment="1">
      <alignment horizontal="center"/>
    </xf>
    <xf numFmtId="165" fontId="1" fillId="0" borderId="35" xfId="0" applyNumberFormat="1" applyFont="1" applyBorder="1" applyAlignment="1">
      <alignment horizontal="center"/>
    </xf>
    <xf numFmtId="165" fontId="1" fillId="0" borderId="34"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2" xfId="0" applyNumberFormat="1" applyFont="1" applyBorder="1" applyAlignment="1">
      <alignment horizontal="center"/>
    </xf>
    <xf numFmtId="165" fontId="1" fillId="0" borderId="17" xfId="0" applyNumberFormat="1" applyFont="1" applyBorder="1" applyAlignment="1">
      <alignment horizontal="center"/>
    </xf>
    <xf numFmtId="165" fontId="1" fillId="0" borderId="13" xfId="0" applyNumberFormat="1" applyFont="1" applyBorder="1" applyAlignment="1">
      <alignment horizontal="center"/>
    </xf>
    <xf numFmtId="165" fontId="1" fillId="0" borderId="4" xfId="0" applyNumberFormat="1" applyFont="1" applyBorder="1" applyAlignment="1">
      <alignment horizontal="center"/>
    </xf>
    <xf numFmtId="165" fontId="1" fillId="0" borderId="14" xfId="0" applyNumberFormat="1" applyFont="1" applyBorder="1" applyAlignment="1">
      <alignment horizontal="center"/>
    </xf>
    <xf numFmtId="165" fontId="1" fillId="0" borderId="18" xfId="0" applyNumberFormat="1" applyFont="1" applyBorder="1" applyAlignment="1">
      <alignment horizontal="center"/>
    </xf>
    <xf numFmtId="164" fontId="4" fillId="0" borderId="13" xfId="0" applyNumberFormat="1" applyFont="1" applyBorder="1" applyAlignment="1">
      <alignment horizontal="center" vertical="center"/>
    </xf>
    <xf numFmtId="164" fontId="4" fillId="0" borderId="4" xfId="0" applyNumberFormat="1" applyFont="1" applyBorder="1" applyAlignment="1">
      <alignment horizontal="center" vertical="center"/>
    </xf>
    <xf numFmtId="164" fontId="4" fillId="0" borderId="14" xfId="0" applyNumberFormat="1" applyFont="1" applyBorder="1" applyAlignment="1">
      <alignment horizontal="center" vertical="center"/>
    </xf>
    <xf numFmtId="164" fontId="4" fillId="0" borderId="39" xfId="0" applyNumberFormat="1"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1" fillId="0" borderId="20" xfId="0" applyFont="1" applyBorder="1" applyAlignment="1">
      <alignment horizontal="center" vertical="center"/>
    </xf>
    <xf numFmtId="164" fontId="4" fillId="0" borderId="5" xfId="0" applyNumberFormat="1" applyFont="1" applyBorder="1" applyAlignment="1">
      <alignment horizontal="center" vertical="center"/>
    </xf>
    <xf numFmtId="164" fontId="4" fillId="0" borderId="6" xfId="0" applyNumberFormat="1" applyFont="1" applyBorder="1" applyAlignment="1">
      <alignment horizontal="center" vertical="center"/>
    </xf>
    <xf numFmtId="164" fontId="4" fillId="0" borderId="7" xfId="0" applyNumberFormat="1" applyFont="1" applyBorder="1" applyAlignment="1">
      <alignment horizontal="center" vertical="center"/>
    </xf>
    <xf numFmtId="165" fontId="1" fillId="0" borderId="19" xfId="0" applyNumberFormat="1" applyFont="1" applyBorder="1" applyAlignment="1">
      <alignment horizontal="center"/>
    </xf>
    <xf numFmtId="165" fontId="1" fillId="0" borderId="40" xfId="0" applyNumberFormat="1" applyFont="1" applyBorder="1" applyAlignment="1">
      <alignment horizontal="center"/>
    </xf>
    <xf numFmtId="165" fontId="1" fillId="0" borderId="20" xfId="0" applyNumberFormat="1" applyFont="1" applyBorder="1" applyAlignment="1">
      <alignment horizontal="center"/>
    </xf>
    <xf numFmtId="165" fontId="1" fillId="0" borderId="39" xfId="0" applyNumberFormat="1" applyFont="1" applyBorder="1" applyAlignment="1">
      <alignment horizontal="center"/>
    </xf>
    <xf numFmtId="165" fontId="1" fillId="0" borderId="41" xfId="0" applyNumberFormat="1" applyFont="1" applyBorder="1" applyAlignment="1">
      <alignment horizontal="center"/>
    </xf>
    <xf numFmtId="164" fontId="4" fillId="0" borderId="29" xfId="0" applyNumberFormat="1" applyFont="1" applyBorder="1" applyAlignment="1">
      <alignment horizontal="center" vertical="center"/>
    </xf>
    <xf numFmtId="0" fontId="1" fillId="0" borderId="21" xfId="0" applyFont="1" applyBorder="1" applyProtection="1">
      <protection locked="0"/>
    </xf>
    <xf numFmtId="0" fontId="1" fillId="0" borderId="22" xfId="0" applyFont="1" applyBorder="1" applyProtection="1">
      <protection locked="0"/>
    </xf>
    <xf numFmtId="0" fontId="1" fillId="0" borderId="23" xfId="0" applyFont="1" applyBorder="1" applyProtection="1">
      <protection locked="0"/>
    </xf>
    <xf numFmtId="0" fontId="1" fillId="0" borderId="24" xfId="0" applyFont="1" applyBorder="1" applyProtection="1">
      <protection locked="0"/>
    </xf>
    <xf numFmtId="0" fontId="1" fillId="0" borderId="36" xfId="0" applyFont="1" applyBorder="1" applyProtection="1">
      <protection locked="0"/>
    </xf>
    <xf numFmtId="0" fontId="1" fillId="0" borderId="19" xfId="0" applyFont="1" applyBorder="1" applyAlignment="1">
      <alignment horizontal="center"/>
    </xf>
    <xf numFmtId="0" fontId="1" fillId="0" borderId="40" xfId="0" applyFont="1" applyBorder="1" applyAlignment="1">
      <alignment horizontal="center"/>
    </xf>
    <xf numFmtId="0" fontId="1" fillId="0" borderId="41" xfId="0" applyFont="1" applyBorder="1" applyAlignment="1">
      <alignment horizontal="center"/>
    </xf>
    <xf numFmtId="0" fontId="1" fillId="0" borderId="20" xfId="0" applyFont="1" applyBorder="1" applyAlignment="1">
      <alignment horizontal="center"/>
    </xf>
    <xf numFmtId="0" fontId="1" fillId="0" borderId="39" xfId="0" applyFont="1" applyBorder="1" applyAlignment="1">
      <alignment horizontal="center"/>
    </xf>
    <xf numFmtId="0" fontId="1" fillId="0" borderId="25"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1" fillId="0" borderId="38" xfId="0" applyFont="1" applyBorder="1" applyAlignment="1" applyProtection="1">
      <alignment horizontal="center" vertical="center"/>
      <protection locked="0"/>
    </xf>
    <xf numFmtId="14" fontId="2" fillId="0" borderId="0" xfId="0" applyNumberFormat="1" applyFont="1" applyProtection="1">
      <protection locked="0"/>
    </xf>
    <xf numFmtId="0" fontId="1" fillId="0" borderId="12" xfId="0" applyFont="1" applyBorder="1" applyAlignment="1" applyProtection="1">
      <alignment horizontal="center"/>
      <protection locked="0"/>
    </xf>
    <xf numFmtId="0" fontId="1" fillId="0" borderId="23" xfId="0" applyFont="1" applyBorder="1" applyAlignment="1" applyProtection="1">
      <alignment horizontal="center"/>
      <protection locked="0"/>
    </xf>
    <xf numFmtId="0" fontId="1" fillId="0" borderId="31" xfId="0" applyFont="1" applyBorder="1" applyAlignment="1" applyProtection="1">
      <alignment horizontal="center"/>
      <protection locked="0"/>
    </xf>
    <xf numFmtId="164" fontId="4" fillId="0" borderId="11" xfId="0" applyNumberFormat="1" applyFont="1" applyBorder="1" applyAlignment="1">
      <alignment horizontal="center" vertical="center"/>
    </xf>
    <xf numFmtId="164" fontId="4" fillId="0" borderId="12" xfId="0" applyNumberFormat="1" applyFont="1" applyBorder="1" applyAlignment="1">
      <alignment horizontal="center" vertical="center"/>
    </xf>
    <xf numFmtId="0" fontId="3" fillId="0" borderId="49" xfId="0" applyFont="1" applyBorder="1" applyAlignment="1" applyProtection="1">
      <alignment horizontal="right" vertical="center"/>
      <protection locked="0"/>
    </xf>
    <xf numFmtId="0" fontId="1" fillId="0" borderId="51" xfId="0" applyFont="1" applyBorder="1" applyAlignment="1">
      <alignment horizontal="center" vertical="center"/>
    </xf>
    <xf numFmtId="164" fontId="4" fillId="0" borderId="45" xfId="0" applyNumberFormat="1" applyFont="1" applyBorder="1" applyAlignment="1">
      <alignment horizontal="center" vertical="center"/>
    </xf>
    <xf numFmtId="164" fontId="4" fillId="0" borderId="32" xfId="0" applyNumberFormat="1" applyFont="1" applyBorder="1" applyAlignment="1">
      <alignment horizontal="center" vertical="center"/>
    </xf>
    <xf numFmtId="164" fontId="4" fillId="0" borderId="42" xfId="0" applyNumberFormat="1" applyFont="1" applyBorder="1" applyAlignment="1">
      <alignment horizontal="center" vertical="center"/>
    </xf>
    <xf numFmtId="164" fontId="4" fillId="0" borderId="54" xfId="0" applyNumberFormat="1" applyFont="1" applyBorder="1" applyAlignment="1">
      <alignment horizontal="center" vertical="center"/>
    </xf>
    <xf numFmtId="164" fontId="4" fillId="0" borderId="49"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0" borderId="47" xfId="0" applyFont="1" applyBorder="1" applyAlignment="1" applyProtection="1">
      <alignment horizontal="center" vertical="center"/>
      <protection locked="0"/>
    </xf>
    <xf numFmtId="0" fontId="1" fillId="2" borderId="0" xfId="0" applyFont="1" applyFill="1" applyProtection="1">
      <protection locked="0"/>
    </xf>
    <xf numFmtId="166" fontId="0" fillId="0" borderId="0" xfId="0" applyNumberFormat="1"/>
    <xf numFmtId="0" fontId="1" fillId="0" borderId="56" xfId="0" applyFont="1" applyBorder="1" applyAlignment="1" applyProtection="1">
      <alignment horizontal="center" vertical="center" wrapText="1"/>
      <protection locked="0"/>
    </xf>
    <xf numFmtId="0" fontId="1" fillId="0" borderId="55" xfId="0" applyFont="1" applyBorder="1" applyAlignment="1" applyProtection="1">
      <alignment horizontal="center" vertical="center" wrapText="1"/>
      <protection locked="0"/>
    </xf>
    <xf numFmtId="0" fontId="1" fillId="0" borderId="52" xfId="0" applyFont="1" applyBorder="1" applyAlignment="1" applyProtection="1">
      <alignment horizontal="center" vertical="center" wrapText="1"/>
      <protection locked="0"/>
    </xf>
    <xf numFmtId="0" fontId="1" fillId="0" borderId="56" xfId="0" applyFont="1" applyBorder="1" applyAlignment="1" applyProtection="1">
      <alignment vertical="center" wrapText="1"/>
      <protection locked="0"/>
    </xf>
    <xf numFmtId="0" fontId="1" fillId="0" borderId="55" xfId="0" applyFont="1" applyBorder="1" applyAlignment="1" applyProtection="1">
      <alignment vertical="center" wrapText="1"/>
      <protection locked="0"/>
    </xf>
    <xf numFmtId="0" fontId="1" fillId="0" borderId="57" xfId="0" applyFont="1" applyBorder="1" applyAlignment="1" applyProtection="1">
      <alignment vertical="center"/>
      <protection locked="0"/>
    </xf>
    <xf numFmtId="0" fontId="1" fillId="0" borderId="58" xfId="0" applyFont="1" applyBorder="1" applyAlignment="1" applyProtection="1">
      <alignment vertical="center"/>
      <protection locked="0"/>
    </xf>
    <xf numFmtId="0" fontId="1" fillId="0" borderId="53" xfId="0" applyFont="1" applyBorder="1" applyAlignment="1" applyProtection="1">
      <alignment horizontal="center" vertical="center"/>
      <protection locked="0"/>
    </xf>
    <xf numFmtId="0" fontId="1" fillId="0" borderId="45" xfId="0" applyFont="1" applyBorder="1" applyAlignment="1" applyProtection="1">
      <alignment horizontal="center" vertical="center" wrapText="1"/>
      <protection locked="0"/>
    </xf>
    <xf numFmtId="0" fontId="1" fillId="0" borderId="59" xfId="0" applyFont="1" applyBorder="1" applyAlignment="1" applyProtection="1">
      <alignment vertical="center" wrapText="1"/>
      <protection locked="0"/>
    </xf>
    <xf numFmtId="0" fontId="1" fillId="0" borderId="44" xfId="0" applyFont="1" applyBorder="1" applyAlignment="1" applyProtection="1">
      <alignment vertical="center" wrapText="1"/>
      <protection locked="0"/>
    </xf>
    <xf numFmtId="0" fontId="1" fillId="0" borderId="43" xfId="0" applyFont="1" applyBorder="1" applyAlignment="1" applyProtection="1">
      <alignment vertical="center" wrapText="1"/>
      <protection locked="0"/>
    </xf>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1" fontId="1" fillId="0" borderId="52" xfId="0" applyNumberFormat="1" applyFont="1" applyBorder="1" applyAlignment="1">
      <alignment horizontal="center" vertical="center"/>
    </xf>
    <xf numFmtId="1" fontId="1" fillId="0" borderId="53" xfId="0" applyNumberFormat="1" applyFont="1" applyBorder="1" applyAlignment="1">
      <alignment horizontal="center" vertical="center"/>
    </xf>
    <xf numFmtId="1" fontId="1" fillId="0" borderId="47" xfId="0" applyNumberFormat="1" applyFont="1" applyBorder="1" applyAlignment="1">
      <alignment horizontal="center" vertical="center"/>
    </xf>
    <xf numFmtId="1" fontId="1" fillId="0" borderId="0" xfId="0" applyNumberFormat="1" applyFont="1" applyProtection="1">
      <protection locked="0"/>
    </xf>
    <xf numFmtId="1" fontId="1" fillId="0" borderId="51" xfId="0" applyNumberFormat="1" applyFont="1" applyBorder="1" applyAlignment="1">
      <alignment horizontal="center" vertical="center"/>
    </xf>
    <xf numFmtId="1" fontId="1" fillId="0" borderId="45" xfId="0" applyNumberFormat="1" applyFont="1" applyBorder="1" applyAlignment="1">
      <alignment horizontal="center" vertical="center"/>
    </xf>
    <xf numFmtId="0" fontId="8" fillId="0" borderId="0" xfId="0" applyFont="1"/>
    <xf numFmtId="0" fontId="8" fillId="0" borderId="0" xfId="0" applyFont="1" applyAlignment="1">
      <alignment horizontal="center"/>
    </xf>
    <xf numFmtId="0" fontId="1" fillId="0" borderId="0" xfId="0" applyFont="1"/>
    <xf numFmtId="0" fontId="1" fillId="0" borderId="73" xfId="0" applyFont="1" applyBorder="1" applyAlignment="1">
      <alignment horizontal="center"/>
    </xf>
    <xf numFmtId="0" fontId="1" fillId="0" borderId="31" xfId="0" applyFont="1" applyBorder="1" applyAlignment="1">
      <alignment horizontal="center"/>
    </xf>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4" fillId="0" borderId="9" xfId="0" applyFont="1" applyBorder="1" applyAlignment="1" applyProtection="1">
      <alignment horizontal="center"/>
      <protection locked="0"/>
    </xf>
    <xf numFmtId="0" fontId="8" fillId="0" borderId="0" xfId="0" applyFont="1" applyAlignment="1">
      <alignment wrapText="1"/>
    </xf>
    <xf numFmtId="0" fontId="1" fillId="0" borderId="21" xfId="0" applyFont="1" applyBorder="1" applyAlignment="1" applyProtection="1">
      <alignment horizontal="center"/>
      <protection locked="0"/>
    </xf>
    <xf numFmtId="0" fontId="1" fillId="0" borderId="32" xfId="0" applyFont="1" applyBorder="1" applyAlignment="1">
      <alignment horizontal="center" vertical="center"/>
    </xf>
    <xf numFmtId="0" fontId="1" fillId="0" borderId="22" xfId="0" applyFont="1" applyBorder="1" applyAlignment="1" applyProtection="1">
      <alignment horizontal="center"/>
      <protection locked="0"/>
    </xf>
    <xf numFmtId="0" fontId="1" fillId="0" borderId="24" xfId="0" applyFont="1" applyBorder="1" applyAlignment="1" applyProtection="1">
      <alignment horizontal="center"/>
      <protection locked="0"/>
    </xf>
    <xf numFmtId="0" fontId="4" fillId="0" borderId="10" xfId="0" applyFont="1" applyBorder="1" applyAlignment="1">
      <alignment horizontal="center" vertical="center"/>
    </xf>
    <xf numFmtId="0" fontId="1" fillId="0" borderId="9" xfId="0" applyFont="1" applyBorder="1" applyAlignment="1" applyProtection="1">
      <alignment horizontal="center"/>
      <protection locked="0"/>
    </xf>
    <xf numFmtId="1" fontId="1" fillId="0" borderId="42" xfId="0" applyNumberFormat="1" applyFont="1" applyBorder="1" applyAlignment="1">
      <alignment horizontal="center" vertical="center"/>
    </xf>
    <xf numFmtId="1" fontId="1" fillId="0" borderId="54" xfId="0" applyNumberFormat="1" applyFont="1" applyBorder="1" applyAlignment="1">
      <alignment horizontal="center" vertical="center"/>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9" fillId="0" borderId="0" xfId="0" applyFont="1" applyAlignment="1">
      <alignment wrapText="1"/>
    </xf>
    <xf numFmtId="0" fontId="1" fillId="0" borderId="29" xfId="0" applyFont="1" applyBorder="1" applyAlignment="1" applyProtection="1">
      <alignment horizontal="center"/>
      <protection locked="0"/>
    </xf>
    <xf numFmtId="0" fontId="1" fillId="0" borderId="30" xfId="0" applyFont="1" applyBorder="1" applyAlignment="1" applyProtection="1">
      <alignment horizontal="center"/>
      <protection locked="0"/>
    </xf>
    <xf numFmtId="0" fontId="1" fillId="0" borderId="37" xfId="0" applyFont="1" applyBorder="1" applyAlignment="1" applyProtection="1">
      <alignment horizontal="center"/>
      <protection locked="0"/>
    </xf>
    <xf numFmtId="0" fontId="1" fillId="0" borderId="25" xfId="0" applyFont="1" applyBorder="1" applyAlignment="1" applyProtection="1">
      <alignment horizontal="center" wrapText="1"/>
      <protection locked="0"/>
    </xf>
    <xf numFmtId="0" fontId="1" fillId="0" borderId="26" xfId="0" applyFont="1" applyBorder="1" applyAlignment="1" applyProtection="1">
      <alignment horizontal="center" wrapText="1"/>
      <protection locked="0"/>
    </xf>
    <xf numFmtId="0" fontId="1" fillId="0" borderId="38" xfId="0" applyFont="1" applyBorder="1" applyAlignment="1" applyProtection="1">
      <alignment horizontal="center" wrapText="1"/>
      <protection locked="0"/>
    </xf>
    <xf numFmtId="0" fontId="1" fillId="0" borderId="5" xfId="0" applyFont="1"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1" fillId="0" borderId="33" xfId="0" applyFont="1" applyBorder="1" applyAlignment="1" applyProtection="1">
      <alignment horizontal="center" vertical="center" wrapText="1"/>
      <protection locked="0"/>
    </xf>
    <xf numFmtId="0" fontId="1" fillId="0" borderId="29" xfId="0" applyFont="1" applyBorder="1" applyAlignment="1" applyProtection="1">
      <alignment horizontal="center" wrapText="1"/>
      <protection locked="0"/>
    </xf>
    <xf numFmtId="0" fontId="1" fillId="0" borderId="30" xfId="0" applyFont="1" applyBorder="1" applyAlignment="1" applyProtection="1">
      <alignment horizontal="center" wrapText="1"/>
      <protection locked="0"/>
    </xf>
    <xf numFmtId="0" fontId="1" fillId="0" borderId="37" xfId="0" applyFont="1" applyBorder="1" applyAlignment="1" applyProtection="1">
      <alignment horizontal="center" wrapText="1"/>
      <protection locked="0"/>
    </xf>
    <xf numFmtId="0" fontId="1" fillId="0" borderId="21" xfId="0" applyFont="1" applyBorder="1" applyAlignment="1" applyProtection="1">
      <alignment horizontal="center" vertical="center" wrapText="1"/>
      <protection locked="0"/>
    </xf>
    <xf numFmtId="0" fontId="1" fillId="0" borderId="15" xfId="0" applyFont="1" applyBorder="1" applyAlignment="1" applyProtection="1">
      <alignment horizontal="center" vertical="center" wrapText="1"/>
      <protection locked="0"/>
    </xf>
    <xf numFmtId="0" fontId="1" fillId="0" borderId="22" xfId="0" applyFont="1" applyBorder="1" applyAlignment="1" applyProtection="1">
      <alignment horizontal="center" vertical="center" wrapText="1"/>
      <protection locked="0"/>
    </xf>
    <xf numFmtId="0" fontId="1" fillId="0" borderId="16" xfId="0" applyFont="1" applyBorder="1" applyAlignment="1" applyProtection="1">
      <alignment horizontal="center" vertical="center" wrapText="1"/>
      <protection locked="0"/>
    </xf>
    <xf numFmtId="0" fontId="1" fillId="0" borderId="5" xfId="0" applyFont="1" applyBorder="1" applyAlignment="1" applyProtection="1">
      <alignment horizontal="center"/>
      <protection locked="0"/>
    </xf>
    <xf numFmtId="0" fontId="1" fillId="0" borderId="6"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5" xfId="0" applyFont="1" applyBorder="1" applyAlignment="1" applyProtection="1">
      <alignment horizontal="center" wrapText="1"/>
      <protection locked="0"/>
    </xf>
    <xf numFmtId="0" fontId="1" fillId="0" borderId="8" xfId="0" applyFont="1" applyBorder="1" applyAlignment="1" applyProtection="1">
      <alignment horizontal="center"/>
      <protection locked="0"/>
    </xf>
    <xf numFmtId="0" fontId="1" fillId="0" borderId="1"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0" xfId="0" applyFont="1" applyAlignment="1" applyProtection="1">
      <alignment horizontal="left" vertical="center" wrapText="1"/>
      <protection locked="0"/>
    </xf>
    <xf numFmtId="0" fontId="1" fillId="0" borderId="0" xfId="0" applyFont="1" applyAlignment="1" applyProtection="1">
      <alignment horizontal="left" vertical="top" wrapText="1"/>
      <protection locked="0"/>
    </xf>
    <xf numFmtId="0" fontId="1" fillId="0" borderId="43" xfId="0" applyFont="1" applyBorder="1" applyAlignment="1" applyProtection="1">
      <alignment horizontal="center" wrapText="1"/>
      <protection locked="0"/>
    </xf>
    <xf numFmtId="0" fontId="1" fillId="0" borderId="44" xfId="0" applyFont="1" applyBorder="1" applyAlignment="1" applyProtection="1">
      <alignment horizontal="center" wrapText="1"/>
      <protection locked="0"/>
    </xf>
    <xf numFmtId="0" fontId="2" fillId="0" borderId="0" xfId="0" applyFont="1" applyAlignment="1" applyProtection="1">
      <alignment horizontal="right"/>
      <protection locked="0"/>
    </xf>
    <xf numFmtId="0" fontId="2" fillId="0" borderId="46" xfId="0" applyFont="1" applyBorder="1" applyAlignment="1" applyProtection="1">
      <alignment horizontal="right"/>
      <protection locked="0"/>
    </xf>
    <xf numFmtId="14" fontId="2" fillId="2" borderId="46" xfId="0" applyNumberFormat="1" applyFont="1" applyFill="1" applyBorder="1" applyAlignment="1" applyProtection="1">
      <alignment horizontal="center"/>
      <protection locked="0"/>
    </xf>
    <xf numFmtId="14" fontId="2" fillId="0" borderId="46" xfId="0" applyNumberFormat="1" applyFont="1" applyBorder="1" applyAlignment="1">
      <alignment horizontal="center"/>
    </xf>
    <xf numFmtId="0" fontId="1" fillId="0" borderId="10" xfId="0" applyFont="1" applyBorder="1" applyAlignment="1" applyProtection="1">
      <alignment horizontal="center" vertical="center" wrapText="1"/>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21" xfId="0" applyFont="1" applyBorder="1" applyAlignment="1" applyProtection="1">
      <alignment horizontal="center"/>
      <protection locked="0"/>
    </xf>
    <xf numFmtId="0" fontId="2" fillId="0" borderId="0" xfId="0" applyFont="1" applyAlignment="1" applyProtection="1">
      <alignment horizontal="right" vertical="top"/>
      <protection locked="0"/>
    </xf>
    <xf numFmtId="0" fontId="3" fillId="0" borderId="47" xfId="0" applyFont="1" applyBorder="1" applyAlignment="1" applyProtection="1">
      <alignment horizontal="right" vertical="center"/>
      <protection locked="0"/>
    </xf>
    <xf numFmtId="0" fontId="3" fillId="0" borderId="48" xfId="0" applyFont="1" applyBorder="1" applyAlignment="1" applyProtection="1">
      <alignment horizontal="right" vertical="center"/>
      <protection locked="0"/>
    </xf>
    <xf numFmtId="0" fontId="1" fillId="0" borderId="45" xfId="0" applyFont="1" applyBorder="1" applyAlignment="1" applyProtection="1">
      <alignment horizontal="center" wrapText="1"/>
      <protection locked="0"/>
    </xf>
    <xf numFmtId="0" fontId="1" fillId="0" borderId="31" xfId="0" applyFont="1" applyBorder="1" applyAlignment="1" applyProtection="1">
      <alignment horizontal="center"/>
      <protection locked="0"/>
    </xf>
    <xf numFmtId="0" fontId="1" fillId="0" borderId="27" xfId="0" applyFont="1" applyBorder="1" applyAlignment="1" applyProtection="1">
      <alignment horizontal="center" wrapText="1"/>
      <protection locked="0"/>
    </xf>
    <xf numFmtId="0" fontId="3" fillId="0" borderId="49" xfId="0" applyFont="1" applyBorder="1" applyAlignment="1" applyProtection="1">
      <alignment horizontal="right" vertical="center"/>
      <protection locked="0"/>
    </xf>
    <xf numFmtId="0" fontId="3" fillId="0" borderId="50" xfId="0" applyFont="1" applyBorder="1" applyAlignment="1" applyProtection="1">
      <alignment horizontal="right" vertical="center"/>
      <protection locked="0"/>
    </xf>
    <xf numFmtId="0" fontId="1" fillId="0" borderId="63" xfId="0" applyFont="1" applyBorder="1" applyAlignment="1" applyProtection="1">
      <alignment horizontal="right"/>
      <protection locked="0"/>
    </xf>
    <xf numFmtId="0" fontId="1" fillId="0" borderId="64" xfId="0" applyFont="1" applyBorder="1" applyAlignment="1" applyProtection="1">
      <alignment horizontal="right"/>
      <protection locked="0"/>
    </xf>
    <xf numFmtId="0" fontId="1" fillId="0" borderId="69" xfId="0" applyFont="1" applyBorder="1" applyAlignment="1" applyProtection="1">
      <alignment horizontal="right"/>
      <protection locked="0"/>
    </xf>
    <xf numFmtId="164" fontId="1" fillId="0" borderId="63" xfId="0" applyNumberFormat="1" applyFont="1" applyBorder="1" applyAlignment="1">
      <alignment horizontal="center"/>
    </xf>
    <xf numFmtId="0" fontId="1" fillId="0" borderId="69" xfId="0" applyFont="1" applyBorder="1" applyAlignment="1">
      <alignment horizontal="center"/>
    </xf>
    <xf numFmtId="0" fontId="1" fillId="0" borderId="66" xfId="0" applyFont="1" applyBorder="1" applyAlignment="1" applyProtection="1">
      <alignment horizontal="right"/>
      <protection locked="0"/>
    </xf>
    <xf numFmtId="0" fontId="1" fillId="0" borderId="67" xfId="0" applyFont="1" applyBorder="1" applyAlignment="1" applyProtection="1">
      <alignment horizontal="right"/>
      <protection locked="0"/>
    </xf>
    <xf numFmtId="0" fontId="1" fillId="0" borderId="70" xfId="0" applyFont="1" applyBorder="1" applyAlignment="1" applyProtection="1">
      <alignment horizontal="right"/>
      <protection locked="0"/>
    </xf>
    <xf numFmtId="22" fontId="10" fillId="0" borderId="66" xfId="0" applyNumberFormat="1" applyFont="1" applyBorder="1" applyAlignment="1" applyProtection="1">
      <alignment horizontal="center"/>
      <protection locked="0"/>
    </xf>
    <xf numFmtId="20" fontId="10" fillId="0" borderId="70" xfId="0" applyNumberFormat="1" applyFont="1" applyBorder="1" applyAlignment="1" applyProtection="1">
      <alignment horizontal="center"/>
      <protection locked="0"/>
    </xf>
    <xf numFmtId="0" fontId="1" fillId="0" borderId="65" xfId="0" applyFont="1" applyBorder="1" applyAlignment="1" applyProtection="1">
      <alignment horizontal="right"/>
      <protection locked="0"/>
    </xf>
    <xf numFmtId="0" fontId="1" fillId="0" borderId="68" xfId="0" applyFont="1" applyBorder="1" applyAlignment="1" applyProtection="1">
      <alignment horizontal="right"/>
      <protection locked="0"/>
    </xf>
    <xf numFmtId="0" fontId="1" fillId="0" borderId="71" xfId="0" applyFont="1" applyBorder="1" applyAlignment="1">
      <alignment horizontal="center"/>
    </xf>
    <xf numFmtId="0" fontId="1" fillId="0" borderId="65" xfId="0" applyFont="1" applyBorder="1" applyAlignment="1">
      <alignment horizontal="center"/>
    </xf>
    <xf numFmtId="0" fontId="1" fillId="0" borderId="72" xfId="0" applyFont="1" applyBorder="1" applyAlignment="1" applyProtection="1">
      <alignment horizontal="center"/>
      <protection locked="0"/>
    </xf>
    <xf numFmtId="0" fontId="1" fillId="0" borderId="68" xfId="0" applyFont="1" applyBorder="1" applyAlignment="1" applyProtection="1">
      <alignment horizontal="center"/>
      <protection locked="0"/>
    </xf>
    <xf numFmtId="0" fontId="13" fillId="0" borderId="0" xfId="0" applyFont="1" applyAlignment="1">
      <alignment horizontal="left"/>
    </xf>
  </cellXfs>
  <cellStyles count="2">
    <cellStyle name="Hyperlink" xfId="1" builtinId="8"/>
    <cellStyle name="Normal" xfId="0" builtinId="0"/>
  </cellStyles>
  <dxfs count="13">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H$34" noThreeD="1"/>
</file>

<file path=xl/ctrlProps/ctrlProp34.xml><?xml version="1.0" encoding="utf-8"?>
<formControlPr xmlns="http://schemas.microsoft.com/office/spreadsheetml/2009/9/main" objectType="CheckBox" fmlaLink="FORMATTED!$H$35" noThreeD="1"/>
</file>

<file path=xl/ctrlProps/ctrlProp35.xml><?xml version="1.0" encoding="utf-8"?>
<formControlPr xmlns="http://schemas.microsoft.com/office/spreadsheetml/2009/9/main" objectType="CheckBox" fmlaLink="FORMATTED!$H$36" noThreeD="1"/>
</file>

<file path=xl/ctrlProps/ctrlProp36.xml><?xml version="1.0" encoding="utf-8"?>
<formControlPr xmlns="http://schemas.microsoft.com/office/spreadsheetml/2009/9/main" objectType="CheckBox" fmlaLink="FORMATTED!$K$2" lockText="1" noThreeD="1"/>
</file>

<file path=xl/ctrlProps/ctrlProp37.xml><?xml version="1.0" encoding="utf-8"?>
<formControlPr xmlns="http://schemas.microsoft.com/office/spreadsheetml/2009/9/main" objectType="CheckBox" fmlaLink="FORMATTED!$K$3" lockText="1" noThreeD="1"/>
</file>

<file path=xl/ctrlProps/ctrlProp38.xml><?xml version="1.0" encoding="utf-8"?>
<formControlPr xmlns="http://schemas.microsoft.com/office/spreadsheetml/2009/9/main" objectType="CheckBox" fmlaLink="FORMATTED!$K$4" lockText="1" noThreeD="1"/>
</file>

<file path=xl/ctrlProps/ctrlProp39.xml><?xml version="1.0" encoding="utf-8"?>
<formControlPr xmlns="http://schemas.microsoft.com/office/spreadsheetml/2009/9/main" objectType="CheckBox" fmlaLink="FORMATTED!$K$5" lockText="1" noThreeD="1"/>
</file>

<file path=xl/ctrlProps/ctrlProp40.xml><?xml version="1.0" encoding="utf-8"?>
<formControlPr xmlns="http://schemas.microsoft.com/office/spreadsheetml/2009/9/main" objectType="CheckBox" fmlaLink="FORMATTED!$K$6" lockText="1" noThreeD="1"/>
</file>

<file path=xl/ctrlProps/ctrlProp41.xml><?xml version="1.0" encoding="utf-8"?>
<formControlPr xmlns="http://schemas.microsoft.com/office/spreadsheetml/2009/9/main" objectType="CheckBox" fmlaLink="FORMATTED!$K$7" lockText="1" noThreeD="1"/>
</file>

<file path=xl/ctrlProps/ctrlProp42.xml><?xml version="1.0" encoding="utf-8"?>
<formControlPr xmlns="http://schemas.microsoft.com/office/spreadsheetml/2009/9/main" objectType="CheckBox" fmlaLink="FORMATTED!$K$8" lockText="1" noThreeD="1"/>
</file>

<file path=xl/ctrlProps/ctrlProp43.xml><?xml version="1.0" encoding="utf-8"?>
<formControlPr xmlns="http://schemas.microsoft.com/office/spreadsheetml/2009/9/main" objectType="CheckBox" fmlaLink="FORMATTED!$K$9" lockText="1" noThreeD="1"/>
</file>

<file path=xl/ctrlProps/ctrlProp44.xml><?xml version="1.0" encoding="utf-8"?>
<formControlPr xmlns="http://schemas.microsoft.com/office/spreadsheetml/2009/9/main" objectType="CheckBox" fmlaLink="FORMATTED!$K$10" lockText="1" noThreeD="1"/>
</file>

<file path=xl/ctrlProps/ctrlProp45.xml><?xml version="1.0" encoding="utf-8"?>
<formControlPr xmlns="http://schemas.microsoft.com/office/spreadsheetml/2009/9/main" objectType="CheckBox" fmlaLink="FORMATTED!$K$11" lockText="1" noThreeD="1"/>
</file>

<file path=xl/ctrlProps/ctrlProp46.xml><?xml version="1.0" encoding="utf-8"?>
<formControlPr xmlns="http://schemas.microsoft.com/office/spreadsheetml/2009/9/main" objectType="CheckBox" fmlaLink="FORMATTED!$K$12" lockText="1" noThreeD="1"/>
</file>

<file path=xl/ctrlProps/ctrlProp47.xml><?xml version="1.0" encoding="utf-8"?>
<formControlPr xmlns="http://schemas.microsoft.com/office/spreadsheetml/2009/9/main" objectType="CheckBox" fmlaLink="FORMATTED!$K$13" lockText="1" noThreeD="1"/>
</file>

<file path=xl/ctrlProps/ctrlProp48.xml><?xml version="1.0" encoding="utf-8"?>
<formControlPr xmlns="http://schemas.microsoft.com/office/spreadsheetml/2009/9/main" objectType="CheckBox" fmlaLink="FORMATTED!$K$14" lockText="1" noThreeD="1"/>
</file>

<file path=xl/ctrlProps/ctrlProp49.xml><?xml version="1.0" encoding="utf-8"?>
<formControlPr xmlns="http://schemas.microsoft.com/office/spreadsheetml/2009/9/main" objectType="CheckBox" fmlaLink="FORMATTED!$K$15" lockText="1" noThreeD="1"/>
</file>

<file path=xl/ctrlProps/ctrlProp50.xml><?xml version="1.0" encoding="utf-8"?>
<formControlPr xmlns="http://schemas.microsoft.com/office/spreadsheetml/2009/9/main" objectType="CheckBox" fmlaLink="FORMATTED!$K$16" lockText="1" noThreeD="1"/>
</file>

<file path=xl/ctrlProps/ctrlProp51.xml><?xml version="1.0" encoding="utf-8"?>
<formControlPr xmlns="http://schemas.microsoft.com/office/spreadsheetml/2009/9/main" objectType="CheckBox" fmlaLink="FORMATTED!$K$17" lockText="1" noThreeD="1"/>
</file>

<file path=xl/ctrlProps/ctrlProp52.xml><?xml version="1.0" encoding="utf-8"?>
<formControlPr xmlns="http://schemas.microsoft.com/office/spreadsheetml/2009/9/main" objectType="CheckBox" fmlaLink="FORMATTED!$K$18" lockText="1" noThreeD="1"/>
</file>

<file path=xl/ctrlProps/ctrlProp53.xml><?xml version="1.0" encoding="utf-8"?>
<formControlPr xmlns="http://schemas.microsoft.com/office/spreadsheetml/2009/9/main" objectType="CheckBox" fmlaLink="FORMATTED!$K$19" lockText="1" noThreeD="1"/>
</file>

<file path=xl/ctrlProps/ctrlProp54.xml><?xml version="1.0" encoding="utf-8"?>
<formControlPr xmlns="http://schemas.microsoft.com/office/spreadsheetml/2009/9/main" objectType="CheckBox" fmlaLink="FORMATTED!$K$20" lockText="1" noThreeD="1"/>
</file>

<file path=xl/ctrlProps/ctrlProp55.xml><?xml version="1.0" encoding="utf-8"?>
<formControlPr xmlns="http://schemas.microsoft.com/office/spreadsheetml/2009/9/main" objectType="CheckBox" fmlaLink="FORMATTED!$K$21" lockText="1" noThreeD="1"/>
</file>

<file path=xl/ctrlProps/ctrlProp56.xml><?xml version="1.0" encoding="utf-8"?>
<formControlPr xmlns="http://schemas.microsoft.com/office/spreadsheetml/2009/9/main" objectType="CheckBox" fmlaLink="FORMATTED!$K$22" lockText="1" noThreeD="1"/>
</file>

<file path=xl/ctrlProps/ctrlProp57.xml><?xml version="1.0" encoding="utf-8"?>
<formControlPr xmlns="http://schemas.microsoft.com/office/spreadsheetml/2009/9/main" objectType="CheckBox" fmlaLink="FORMATTED!$K$23" lockText="1" noThreeD="1"/>
</file>

<file path=xl/ctrlProps/ctrlProp58.xml><?xml version="1.0" encoding="utf-8"?>
<formControlPr xmlns="http://schemas.microsoft.com/office/spreadsheetml/2009/9/main" objectType="CheckBox" fmlaLink="FORMATTED!$K$24" lockText="1" noThreeD="1"/>
</file>

<file path=xl/ctrlProps/ctrlProp59.xml><?xml version="1.0" encoding="utf-8"?>
<formControlPr xmlns="http://schemas.microsoft.com/office/spreadsheetml/2009/9/main" objectType="CheckBox" fmlaLink="FORMATTED!$L$2" lockText="1" noThreeD="1"/>
</file>

<file path=xl/ctrlProps/ctrlProp60.xml><?xml version="1.0" encoding="utf-8"?>
<formControlPr xmlns="http://schemas.microsoft.com/office/spreadsheetml/2009/9/main" objectType="CheckBox" fmlaLink="FORMATTED!$L$3" lockText="1" noThreeD="1"/>
</file>

<file path=xl/ctrlProps/ctrlProp61.xml><?xml version="1.0" encoding="utf-8"?>
<formControlPr xmlns="http://schemas.microsoft.com/office/spreadsheetml/2009/9/main" objectType="CheckBox" fmlaLink="FORMATTED!$L$4" lockText="1" noThreeD="1"/>
</file>

<file path=xl/ctrlProps/ctrlProp62.xml><?xml version="1.0" encoding="utf-8"?>
<formControlPr xmlns="http://schemas.microsoft.com/office/spreadsheetml/2009/9/main" objectType="CheckBox" fmlaLink="FORMATTED!$L$5" lockText="1" noThreeD="1"/>
</file>

<file path=xl/ctrlProps/ctrlProp63.xml><?xml version="1.0" encoding="utf-8"?>
<formControlPr xmlns="http://schemas.microsoft.com/office/spreadsheetml/2009/9/main" objectType="CheckBox" fmlaLink="FORMATTED!$L$6" lockText="1" noThreeD="1"/>
</file>

<file path=xl/ctrlProps/ctrlProp64.xml><?xml version="1.0" encoding="utf-8"?>
<formControlPr xmlns="http://schemas.microsoft.com/office/spreadsheetml/2009/9/main" objectType="CheckBox" fmlaLink="FORMATTED!$L$7" lockText="1" noThreeD="1"/>
</file>

<file path=xl/ctrlProps/ctrlProp65.xml><?xml version="1.0" encoding="utf-8"?>
<formControlPr xmlns="http://schemas.microsoft.com/office/spreadsheetml/2009/9/main" objectType="CheckBox" fmlaLink="FORMATTED!$L$8" lockText="1" noThreeD="1"/>
</file>

<file path=xl/ctrlProps/ctrlProp66.xml><?xml version="1.0" encoding="utf-8"?>
<formControlPr xmlns="http://schemas.microsoft.com/office/spreadsheetml/2009/9/main" objectType="CheckBox" fmlaLink="FORMATTED!$L$9" lockText="1" noThreeD="1"/>
</file>

<file path=xl/ctrlProps/ctrlProp67.xml><?xml version="1.0" encoding="utf-8"?>
<formControlPr xmlns="http://schemas.microsoft.com/office/spreadsheetml/2009/9/main" objectType="CheckBox" fmlaLink="FORMATTED!$L$10" lockText="1" noThreeD="1"/>
</file>

<file path=xl/ctrlProps/ctrlProp68.xml><?xml version="1.0" encoding="utf-8"?>
<formControlPr xmlns="http://schemas.microsoft.com/office/spreadsheetml/2009/9/main" objectType="CheckBox" fmlaLink="FORMATTED!$L$11" lockText="1" noThreeD="1"/>
</file>

<file path=xl/ctrlProps/ctrlProp69.xml><?xml version="1.0" encoding="utf-8"?>
<formControlPr xmlns="http://schemas.microsoft.com/office/spreadsheetml/2009/9/main" objectType="CheckBox" fmlaLink="FORMATTED!$L$12" lockText="1" noThreeD="1"/>
</file>

<file path=xl/ctrlProps/ctrlProp70.xml><?xml version="1.0" encoding="utf-8"?>
<formControlPr xmlns="http://schemas.microsoft.com/office/spreadsheetml/2009/9/main" objectType="CheckBox" fmlaLink="FORMATTED!$L$13" lockText="1" noThreeD="1"/>
</file>

<file path=xl/ctrlProps/ctrlProp71.xml><?xml version="1.0" encoding="utf-8"?>
<formControlPr xmlns="http://schemas.microsoft.com/office/spreadsheetml/2009/9/main" objectType="CheckBox" fmlaLink="FORMATTED!$L$14" lockText="1" noThreeD="1"/>
</file>

<file path=xl/ctrlProps/ctrlProp72.xml><?xml version="1.0" encoding="utf-8"?>
<formControlPr xmlns="http://schemas.microsoft.com/office/spreadsheetml/2009/9/main" objectType="CheckBox" fmlaLink="FORMATTED!$L$15" lockText="1" noThreeD="1"/>
</file>

<file path=xl/ctrlProps/ctrlProp73.xml><?xml version="1.0" encoding="utf-8"?>
<formControlPr xmlns="http://schemas.microsoft.com/office/spreadsheetml/2009/9/main" objectType="CheckBox" fmlaLink="FORMATTED!$L$16" lockText="1" noThreeD="1"/>
</file>

<file path=xl/ctrlProps/ctrlProp74.xml><?xml version="1.0" encoding="utf-8"?>
<formControlPr xmlns="http://schemas.microsoft.com/office/spreadsheetml/2009/9/main" objectType="CheckBox" fmlaLink="FORMATTED!$L$17" lockText="1" noThreeD="1"/>
</file>

<file path=xl/ctrlProps/ctrlProp75.xml><?xml version="1.0" encoding="utf-8"?>
<formControlPr xmlns="http://schemas.microsoft.com/office/spreadsheetml/2009/9/main" objectType="CheckBox" fmlaLink="FORMATTED!$L$18" lockText="1" noThreeD="1"/>
</file>

<file path=xl/ctrlProps/ctrlProp76.xml><?xml version="1.0" encoding="utf-8"?>
<formControlPr xmlns="http://schemas.microsoft.com/office/spreadsheetml/2009/9/main" objectType="CheckBox" fmlaLink="FORMATTED!$L$19" lockText="1" noThreeD="1"/>
</file>

<file path=xl/ctrlProps/ctrlProp77.xml><?xml version="1.0" encoding="utf-8"?>
<formControlPr xmlns="http://schemas.microsoft.com/office/spreadsheetml/2009/9/main" objectType="CheckBox" fmlaLink="FORMATTED!$L$20" lockText="1" noThreeD="1"/>
</file>

<file path=xl/ctrlProps/ctrlProp78.xml><?xml version="1.0" encoding="utf-8"?>
<formControlPr xmlns="http://schemas.microsoft.com/office/spreadsheetml/2009/9/main" objectType="CheckBox" fmlaLink="FORMATTED!$L$21" lockText="1" noThreeD="1"/>
</file>

<file path=xl/ctrlProps/ctrlProp79.xml><?xml version="1.0" encoding="utf-8"?>
<formControlPr xmlns="http://schemas.microsoft.com/office/spreadsheetml/2009/9/main" objectType="CheckBox" fmlaLink="FORMATTED!$L$22" lockText="1" noThreeD="1"/>
</file>

<file path=xl/ctrlProps/ctrlProp80.xml><?xml version="1.0" encoding="utf-8"?>
<formControlPr xmlns="http://schemas.microsoft.com/office/spreadsheetml/2009/9/main" objectType="CheckBox" fmlaLink="FORMATTED!$L$23" lockText="1" noThreeD="1"/>
</file>

<file path=xl/ctrlProps/ctrlProp81.xml><?xml version="1.0" encoding="utf-8"?>
<formControlPr xmlns="http://schemas.microsoft.com/office/spreadsheetml/2009/9/main" objectType="CheckBox" fmlaLink="FORMATTED!$L$24" lockText="1" noThreeD="1"/>
</file>

<file path=xl/ctrlProps/ctrlProp82.xml><?xml version="1.0" encoding="utf-8"?>
<formControlPr xmlns="http://schemas.microsoft.com/office/spreadsheetml/2009/9/main" objectType="CheckBox" fmlaLink="FORMATTED!$K$25" lockText="1" noThreeD="1"/>
</file>

<file path=xl/ctrlProps/ctrlProp83.xml><?xml version="1.0" encoding="utf-8"?>
<formControlPr xmlns="http://schemas.microsoft.com/office/spreadsheetml/2009/9/main" objectType="CheckBox" fmlaLink="FORMATTED!$K$26" lockText="1" noThreeD="1"/>
</file>

<file path=xl/ctrlProps/ctrlProp84.xml><?xml version="1.0" encoding="utf-8"?>
<formControlPr xmlns="http://schemas.microsoft.com/office/spreadsheetml/2009/9/main" objectType="CheckBox" fmlaLink="FORMATTED!$K$27" lockText="1" noThreeD="1"/>
</file>

<file path=xl/ctrlProps/ctrlProp85.xml><?xml version="1.0" encoding="utf-8"?>
<formControlPr xmlns="http://schemas.microsoft.com/office/spreadsheetml/2009/9/main" objectType="CheckBox" fmlaLink="FORMATTED!$K$28" lockText="1" noThreeD="1"/>
</file>

<file path=xl/ctrlProps/ctrlProp86.xml><?xml version="1.0" encoding="utf-8"?>
<formControlPr xmlns="http://schemas.microsoft.com/office/spreadsheetml/2009/9/main" objectType="CheckBox" fmlaLink="FORMATTED!$K$29" lockText="1" noThreeD="1"/>
</file>

<file path=xl/ctrlProps/ctrlProp87.xml><?xml version="1.0" encoding="utf-8"?>
<formControlPr xmlns="http://schemas.microsoft.com/office/spreadsheetml/2009/9/main" objectType="CheckBox" fmlaLink="FORMATTED!$L$25" lockText="1" noThreeD="1"/>
</file>

<file path=xl/ctrlProps/ctrlProp88.xml><?xml version="1.0" encoding="utf-8"?>
<formControlPr xmlns="http://schemas.microsoft.com/office/spreadsheetml/2009/9/main" objectType="CheckBox" fmlaLink="FORMATTED!$L$26" lockText="1" noThreeD="1"/>
</file>

<file path=xl/ctrlProps/ctrlProp89.xml><?xml version="1.0" encoding="utf-8"?>
<formControlPr xmlns="http://schemas.microsoft.com/office/spreadsheetml/2009/9/main" objectType="CheckBox" fmlaLink="FORMATTED!$L$27" lockText="1" noThreeD="1"/>
</file>

<file path=xl/ctrlProps/ctrlProp90.xml><?xml version="1.0" encoding="utf-8"?>
<formControlPr xmlns="http://schemas.microsoft.com/office/spreadsheetml/2009/9/main" objectType="CheckBox" fmlaLink="FORMATTED!$L$28" lockText="1" noThreeD="1"/>
</file>

<file path=xl/ctrlProps/ctrlProp91.xml><?xml version="1.0" encoding="utf-8"?>
<formControlPr xmlns="http://schemas.microsoft.com/office/spreadsheetml/2009/9/main" objectType="CheckBox" fmlaLink="FORMATTED!$L$29" lockText="1" noThreeD="1"/>
</file>

<file path=xl/ctrlProps/ctrlProp92.xml><?xml version="1.0" encoding="utf-8"?>
<formControlPr xmlns="http://schemas.microsoft.com/office/spreadsheetml/2009/9/main" objectType="CheckBox" fmlaLink="FORMATTED!$K$30" lockText="1" noThreeD="1"/>
</file>

<file path=xl/ctrlProps/ctrlProp93.xml><?xml version="1.0" encoding="utf-8"?>
<formControlPr xmlns="http://schemas.microsoft.com/office/spreadsheetml/2009/9/main" objectType="CheckBox" fmlaLink="FORMATTED!$K$31" lockText="1" noThreeD="1"/>
</file>

<file path=xl/ctrlProps/ctrlProp94.xml><?xml version="1.0" encoding="utf-8"?>
<formControlPr xmlns="http://schemas.microsoft.com/office/spreadsheetml/2009/9/main" objectType="CheckBox" fmlaLink="FORMATTED!$K$32" lockText="1" noThreeD="1"/>
</file>

<file path=xl/ctrlProps/ctrlProp95.xml><?xml version="1.0" encoding="utf-8"?>
<formControlPr xmlns="http://schemas.microsoft.com/office/spreadsheetml/2009/9/main" objectType="CheckBox" fmlaLink="FORMATTED!$K$33" lockText="1" noThreeD="1"/>
</file>

<file path=xl/ctrlProps/ctrlProp96.xml><?xml version="1.0" encoding="utf-8"?>
<formControlPr xmlns="http://schemas.microsoft.com/office/spreadsheetml/2009/9/main" objectType="CheckBox" fmlaLink="FORMATTED!$K$34" lockText="1" noThreeD="1"/>
</file>

<file path=xl/ctrlProps/ctrlProp97.xml><?xml version="1.0" encoding="utf-8"?>
<formControlPr xmlns="http://schemas.microsoft.com/office/spreadsheetml/2009/9/main" objectType="CheckBox" fmlaLink="FORMATTED!$L$30" lockText="1" noThreeD="1"/>
</file>

<file path=xl/ctrlProps/ctrlProp98.xml><?xml version="1.0" encoding="utf-8"?>
<formControlPr xmlns="http://schemas.microsoft.com/office/spreadsheetml/2009/9/main" objectType="CheckBox" fmlaLink="FORMATTED!$L$31" lockText="1" noThreeD="1"/>
</file>

<file path=xl/ctrlProps/ctrlProp99.xml><?xml version="1.0" encoding="utf-8"?>
<formControlPr xmlns="http://schemas.microsoft.com/office/spreadsheetml/2009/9/main" objectType="CheckBox" fmlaLink="FORMATTED!$L$32" lockText="1" noThreeD="1"/>
</file>

<file path=xl/ctrlProps/ctrlProp100.xml><?xml version="1.0" encoding="utf-8"?>
<formControlPr xmlns="http://schemas.microsoft.com/office/spreadsheetml/2009/9/main" objectType="CheckBox" fmlaLink="FORMATTED!$L$33" lockText="1" noThreeD="1"/>
</file>

<file path=xl/ctrlProps/ctrlProp101.xml><?xml version="1.0" encoding="utf-8"?>
<formControlPr xmlns="http://schemas.microsoft.com/office/spreadsheetml/2009/9/main" objectType="CheckBox" fmlaLink="FORMATTED!$L$34" lockText="1" noThreeD="1"/>
</file>

<file path=xl/ctrlProps/ctrlProp102.xml><?xml version="1.0" encoding="utf-8"?>
<formControlPr xmlns="http://schemas.microsoft.com/office/spreadsheetml/2009/9/main" objectType="CheckBox" fmlaLink="FORMATTED!$K$35" lockText="1" noThreeD="1"/>
</file>

<file path=xl/ctrlProps/ctrlProp103.xml><?xml version="1.0" encoding="utf-8"?>
<formControlPr xmlns="http://schemas.microsoft.com/office/spreadsheetml/2009/9/main" objectType="CheckBox" fmlaLink="FORMATTED!$K$36" lockText="1" noThreeD="1"/>
</file>

<file path=xl/ctrlProps/ctrlProp104.xml><?xml version="1.0" encoding="utf-8"?>
<formControlPr xmlns="http://schemas.microsoft.com/office/spreadsheetml/2009/9/main" objectType="CheckBox" fmlaLink="FORMATTED!$L$35" lockText="1" noThreeD="1"/>
</file>

<file path=xl/ctrlProps/ctrlProp105.xml><?xml version="1.0" encoding="utf-8"?>
<formControlPr xmlns="http://schemas.microsoft.com/office/spreadsheetml/2009/9/main" objectType="CheckBox" fmlaLink="FORMATTED!$L$3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45720</xdr:colOff>
          <xdr:row>4</xdr:row>
          <xdr:rowOff>0</xdr:rowOff>
        </xdr:from>
        <xdr:to>
          <xdr:col>18</xdr:col>
          <xdr:colOff>236220</xdr:colOff>
          <xdr:row>5</xdr:row>
          <xdr:rowOff>7620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5</xdr:row>
          <xdr:rowOff>0</xdr:rowOff>
        </xdr:from>
        <xdr:to>
          <xdr:col>18</xdr:col>
          <xdr:colOff>236220</xdr:colOff>
          <xdr:row>6</xdr:row>
          <xdr:rowOff>7620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6</xdr:row>
          <xdr:rowOff>0</xdr:rowOff>
        </xdr:from>
        <xdr:to>
          <xdr:col>18</xdr:col>
          <xdr:colOff>236220</xdr:colOff>
          <xdr:row>7</xdr:row>
          <xdr:rowOff>7620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7</xdr:row>
          <xdr:rowOff>0</xdr:rowOff>
        </xdr:from>
        <xdr:to>
          <xdr:col>18</xdr:col>
          <xdr:colOff>236220</xdr:colOff>
          <xdr:row>8</xdr:row>
          <xdr:rowOff>7620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8</xdr:row>
          <xdr:rowOff>0</xdr:rowOff>
        </xdr:from>
        <xdr:to>
          <xdr:col>18</xdr:col>
          <xdr:colOff>236220</xdr:colOff>
          <xdr:row>9</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9</xdr:row>
          <xdr:rowOff>0</xdr:rowOff>
        </xdr:from>
        <xdr:to>
          <xdr:col>18</xdr:col>
          <xdr:colOff>236220</xdr:colOff>
          <xdr:row>10</xdr:row>
          <xdr:rowOff>7620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10</xdr:row>
          <xdr:rowOff>0</xdr:rowOff>
        </xdr:from>
        <xdr:to>
          <xdr:col>18</xdr:col>
          <xdr:colOff>236220</xdr:colOff>
          <xdr:row>11</xdr:row>
          <xdr:rowOff>7620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11</xdr:row>
          <xdr:rowOff>0</xdr:rowOff>
        </xdr:from>
        <xdr:to>
          <xdr:col>18</xdr:col>
          <xdr:colOff>236220</xdr:colOff>
          <xdr:row>12</xdr:row>
          <xdr:rowOff>7620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12</xdr:row>
          <xdr:rowOff>0</xdr:rowOff>
        </xdr:from>
        <xdr:to>
          <xdr:col>18</xdr:col>
          <xdr:colOff>236220</xdr:colOff>
          <xdr:row>13</xdr:row>
          <xdr:rowOff>7620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13</xdr:row>
          <xdr:rowOff>0</xdr:rowOff>
        </xdr:from>
        <xdr:to>
          <xdr:col>18</xdr:col>
          <xdr:colOff>236220</xdr:colOff>
          <xdr:row>14</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14</xdr:row>
          <xdr:rowOff>0</xdr:rowOff>
        </xdr:from>
        <xdr:to>
          <xdr:col>18</xdr:col>
          <xdr:colOff>236220</xdr:colOff>
          <xdr:row>15</xdr:row>
          <xdr:rowOff>7620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15</xdr:row>
          <xdr:rowOff>0</xdr:rowOff>
        </xdr:from>
        <xdr:to>
          <xdr:col>18</xdr:col>
          <xdr:colOff>236220</xdr:colOff>
          <xdr:row>16</xdr:row>
          <xdr:rowOff>7620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16</xdr:row>
          <xdr:rowOff>0</xdr:rowOff>
        </xdr:from>
        <xdr:to>
          <xdr:col>18</xdr:col>
          <xdr:colOff>236220</xdr:colOff>
          <xdr:row>17</xdr:row>
          <xdr:rowOff>7620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17</xdr:row>
          <xdr:rowOff>0</xdr:rowOff>
        </xdr:from>
        <xdr:to>
          <xdr:col>18</xdr:col>
          <xdr:colOff>236220</xdr:colOff>
          <xdr:row>18</xdr:row>
          <xdr:rowOff>7620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18</xdr:row>
          <xdr:rowOff>0</xdr:rowOff>
        </xdr:from>
        <xdr:to>
          <xdr:col>18</xdr:col>
          <xdr:colOff>236220</xdr:colOff>
          <xdr:row>19</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19</xdr:row>
          <xdr:rowOff>0</xdr:rowOff>
        </xdr:from>
        <xdr:to>
          <xdr:col>18</xdr:col>
          <xdr:colOff>236220</xdr:colOff>
          <xdr:row>20</xdr:row>
          <xdr:rowOff>7620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20</xdr:row>
          <xdr:rowOff>0</xdr:rowOff>
        </xdr:from>
        <xdr:to>
          <xdr:col>18</xdr:col>
          <xdr:colOff>236220</xdr:colOff>
          <xdr:row>21</xdr:row>
          <xdr:rowOff>7620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21</xdr:row>
          <xdr:rowOff>0</xdr:rowOff>
        </xdr:from>
        <xdr:to>
          <xdr:col>18</xdr:col>
          <xdr:colOff>236220</xdr:colOff>
          <xdr:row>22</xdr:row>
          <xdr:rowOff>7620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22</xdr:row>
          <xdr:rowOff>0</xdr:rowOff>
        </xdr:from>
        <xdr:to>
          <xdr:col>18</xdr:col>
          <xdr:colOff>236220</xdr:colOff>
          <xdr:row>23</xdr:row>
          <xdr:rowOff>7620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23</xdr:row>
          <xdr:rowOff>0</xdr:rowOff>
        </xdr:from>
        <xdr:to>
          <xdr:col>18</xdr:col>
          <xdr:colOff>236220</xdr:colOff>
          <xdr:row>24</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24</xdr:row>
          <xdr:rowOff>0</xdr:rowOff>
        </xdr:from>
        <xdr:to>
          <xdr:col>18</xdr:col>
          <xdr:colOff>236220</xdr:colOff>
          <xdr:row>25</xdr:row>
          <xdr:rowOff>7620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25</xdr:row>
          <xdr:rowOff>0</xdr:rowOff>
        </xdr:from>
        <xdr:to>
          <xdr:col>18</xdr:col>
          <xdr:colOff>236220</xdr:colOff>
          <xdr:row>26</xdr:row>
          <xdr:rowOff>7620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26</xdr:row>
          <xdr:rowOff>0</xdr:rowOff>
        </xdr:from>
        <xdr:to>
          <xdr:col>18</xdr:col>
          <xdr:colOff>236220</xdr:colOff>
          <xdr:row>27</xdr:row>
          <xdr:rowOff>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39</xdr:row>
          <xdr:rowOff>0</xdr:rowOff>
        </xdr:from>
        <xdr:to>
          <xdr:col>18</xdr:col>
          <xdr:colOff>236220</xdr:colOff>
          <xdr:row>40</xdr:row>
          <xdr:rowOff>7620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40</xdr:row>
          <xdr:rowOff>0</xdr:rowOff>
        </xdr:from>
        <xdr:to>
          <xdr:col>18</xdr:col>
          <xdr:colOff>236220</xdr:colOff>
          <xdr:row>41</xdr:row>
          <xdr:rowOff>7620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41</xdr:row>
          <xdr:rowOff>0</xdr:rowOff>
        </xdr:from>
        <xdr:to>
          <xdr:col>18</xdr:col>
          <xdr:colOff>236220</xdr:colOff>
          <xdr:row>42</xdr:row>
          <xdr:rowOff>7620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42</xdr:row>
          <xdr:rowOff>0</xdr:rowOff>
        </xdr:from>
        <xdr:to>
          <xdr:col>18</xdr:col>
          <xdr:colOff>236220</xdr:colOff>
          <xdr:row>43</xdr:row>
          <xdr:rowOff>7620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43</xdr:row>
          <xdr:rowOff>0</xdr:rowOff>
        </xdr:from>
        <xdr:to>
          <xdr:col>18</xdr:col>
          <xdr:colOff>236220</xdr:colOff>
          <xdr:row>44</xdr:row>
          <xdr:rowOff>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44</xdr:row>
          <xdr:rowOff>0</xdr:rowOff>
        </xdr:from>
        <xdr:to>
          <xdr:col>18</xdr:col>
          <xdr:colOff>236220</xdr:colOff>
          <xdr:row>45</xdr:row>
          <xdr:rowOff>7620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45</xdr:row>
          <xdr:rowOff>0</xdr:rowOff>
        </xdr:from>
        <xdr:to>
          <xdr:col>18</xdr:col>
          <xdr:colOff>236220</xdr:colOff>
          <xdr:row>46</xdr:row>
          <xdr:rowOff>7620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46</xdr:row>
          <xdr:rowOff>0</xdr:rowOff>
        </xdr:from>
        <xdr:to>
          <xdr:col>18</xdr:col>
          <xdr:colOff>236220</xdr:colOff>
          <xdr:row>47</xdr:row>
          <xdr:rowOff>7620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47</xdr:row>
          <xdr:rowOff>0</xdr:rowOff>
        </xdr:from>
        <xdr:to>
          <xdr:col>18</xdr:col>
          <xdr:colOff>236220</xdr:colOff>
          <xdr:row>48</xdr:row>
          <xdr:rowOff>7620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48</xdr:row>
          <xdr:rowOff>0</xdr:rowOff>
        </xdr:from>
        <xdr:to>
          <xdr:col>18</xdr:col>
          <xdr:colOff>236220</xdr:colOff>
          <xdr:row>49</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49</xdr:row>
          <xdr:rowOff>0</xdr:rowOff>
        </xdr:from>
        <xdr:to>
          <xdr:col>18</xdr:col>
          <xdr:colOff>236220</xdr:colOff>
          <xdr:row>50</xdr:row>
          <xdr:rowOff>7620</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50</xdr:row>
          <xdr:rowOff>0</xdr:rowOff>
        </xdr:from>
        <xdr:to>
          <xdr:col>18</xdr:col>
          <xdr:colOff>236220</xdr:colOff>
          <xdr:row>51</xdr:row>
          <xdr:rowOff>0</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xdr:row>
          <xdr:rowOff>464820</xdr:rowOff>
        </xdr:from>
        <xdr:to>
          <xdr:col>11</xdr:col>
          <xdr:colOff>297180</xdr:colOff>
          <xdr:row>5</xdr:row>
          <xdr:rowOff>22860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xdr:row>
          <xdr:rowOff>175260</xdr:rowOff>
        </xdr:from>
        <xdr:to>
          <xdr:col>11</xdr:col>
          <xdr:colOff>297180</xdr:colOff>
          <xdr:row>6</xdr:row>
          <xdr:rowOff>7620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xdr:row>
          <xdr:rowOff>175260</xdr:rowOff>
        </xdr:from>
        <xdr:to>
          <xdr:col>11</xdr:col>
          <xdr:colOff>297180</xdr:colOff>
          <xdr:row>7</xdr:row>
          <xdr:rowOff>22860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6</xdr:row>
          <xdr:rowOff>175260</xdr:rowOff>
        </xdr:from>
        <xdr:to>
          <xdr:col>11</xdr:col>
          <xdr:colOff>297180</xdr:colOff>
          <xdr:row>8</xdr:row>
          <xdr:rowOff>7620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160020</xdr:rowOff>
        </xdr:from>
        <xdr:to>
          <xdr:col>11</xdr:col>
          <xdr:colOff>297180</xdr:colOff>
          <xdr:row>11</xdr:row>
          <xdr:rowOff>7620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160020</xdr:rowOff>
        </xdr:from>
        <xdr:to>
          <xdr:col>11</xdr:col>
          <xdr:colOff>297180</xdr:colOff>
          <xdr:row>12</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7</xdr:row>
          <xdr:rowOff>175260</xdr:rowOff>
        </xdr:from>
        <xdr:to>
          <xdr:col>11</xdr:col>
          <xdr:colOff>297180</xdr:colOff>
          <xdr:row>9</xdr:row>
          <xdr:rowOff>7620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175260</xdr:rowOff>
        </xdr:from>
        <xdr:to>
          <xdr:col>11</xdr:col>
          <xdr:colOff>297180</xdr:colOff>
          <xdr:row>10</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17</xdr:row>
          <xdr:rowOff>152400</xdr:rowOff>
        </xdr:from>
        <xdr:to>
          <xdr:col>11</xdr:col>
          <xdr:colOff>297180</xdr:colOff>
          <xdr:row>18</xdr:row>
          <xdr:rowOff>182880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16</xdr:row>
          <xdr:rowOff>160020</xdr:rowOff>
        </xdr:from>
        <xdr:to>
          <xdr:col>11</xdr:col>
          <xdr:colOff>297180</xdr:colOff>
          <xdr:row>17</xdr:row>
          <xdr:rowOff>182880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15</xdr:row>
          <xdr:rowOff>160020</xdr:rowOff>
        </xdr:from>
        <xdr:to>
          <xdr:col>11</xdr:col>
          <xdr:colOff>297180</xdr:colOff>
          <xdr:row>17</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14</xdr:row>
          <xdr:rowOff>160020</xdr:rowOff>
        </xdr:from>
        <xdr:to>
          <xdr:col>11</xdr:col>
          <xdr:colOff>297180</xdr:colOff>
          <xdr:row>16</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13</xdr:row>
          <xdr:rowOff>160020</xdr:rowOff>
        </xdr:from>
        <xdr:to>
          <xdr:col>11</xdr:col>
          <xdr:colOff>297180</xdr:colOff>
          <xdr:row>15</xdr:row>
          <xdr:rowOff>7620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12</xdr:row>
          <xdr:rowOff>160020</xdr:rowOff>
        </xdr:from>
        <xdr:to>
          <xdr:col>11</xdr:col>
          <xdr:colOff>297180</xdr:colOff>
          <xdr:row>14</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11</xdr:row>
          <xdr:rowOff>160020</xdr:rowOff>
        </xdr:from>
        <xdr:to>
          <xdr:col>11</xdr:col>
          <xdr:colOff>297180</xdr:colOff>
          <xdr:row>13</xdr:row>
          <xdr:rowOff>7620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18</xdr:row>
          <xdr:rowOff>182880</xdr:rowOff>
        </xdr:from>
        <xdr:to>
          <xdr:col>11</xdr:col>
          <xdr:colOff>297180</xdr:colOff>
          <xdr:row>20</xdr:row>
          <xdr:rowOff>7620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19</xdr:row>
          <xdr:rowOff>160020</xdr:rowOff>
        </xdr:from>
        <xdr:to>
          <xdr:col>11</xdr:col>
          <xdr:colOff>297180</xdr:colOff>
          <xdr:row>21</xdr:row>
          <xdr:rowOff>7620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20</xdr:row>
          <xdr:rowOff>160020</xdr:rowOff>
        </xdr:from>
        <xdr:to>
          <xdr:col>11</xdr:col>
          <xdr:colOff>297180</xdr:colOff>
          <xdr:row>22</xdr:row>
          <xdr:rowOff>7620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21</xdr:row>
          <xdr:rowOff>160020</xdr:rowOff>
        </xdr:from>
        <xdr:to>
          <xdr:col>11</xdr:col>
          <xdr:colOff>297180</xdr:colOff>
          <xdr:row>23</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22</xdr:row>
          <xdr:rowOff>160020</xdr:rowOff>
        </xdr:from>
        <xdr:to>
          <xdr:col>11</xdr:col>
          <xdr:colOff>297180</xdr:colOff>
          <xdr:row>24</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23</xdr:row>
          <xdr:rowOff>182880</xdr:rowOff>
        </xdr:from>
        <xdr:to>
          <xdr:col>11</xdr:col>
          <xdr:colOff>304800</xdr:colOff>
          <xdr:row>25</xdr:row>
          <xdr:rowOff>7620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24</xdr:row>
          <xdr:rowOff>175260</xdr:rowOff>
        </xdr:from>
        <xdr:to>
          <xdr:col>11</xdr:col>
          <xdr:colOff>304800</xdr:colOff>
          <xdr:row>26</xdr:row>
          <xdr:rowOff>7620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25</xdr:row>
          <xdr:rowOff>160020</xdr:rowOff>
        </xdr:from>
        <xdr:to>
          <xdr:col>11</xdr:col>
          <xdr:colOff>304800</xdr:colOff>
          <xdr:row>27</xdr:row>
          <xdr:rowOff>7620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xdr:row>
          <xdr:rowOff>464820</xdr:rowOff>
        </xdr:from>
        <xdr:to>
          <xdr:col>12</xdr:col>
          <xdr:colOff>289560</xdr:colOff>
          <xdr:row>5</xdr:row>
          <xdr:rowOff>30480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182880</xdr:rowOff>
        </xdr:from>
        <xdr:to>
          <xdr:col>12</xdr:col>
          <xdr:colOff>289560</xdr:colOff>
          <xdr:row>6</xdr:row>
          <xdr:rowOff>22860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5</xdr:row>
          <xdr:rowOff>182880</xdr:rowOff>
        </xdr:from>
        <xdr:to>
          <xdr:col>12</xdr:col>
          <xdr:colOff>289560</xdr:colOff>
          <xdr:row>7</xdr:row>
          <xdr:rowOff>30480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6</xdr:row>
          <xdr:rowOff>182880</xdr:rowOff>
        </xdr:from>
        <xdr:to>
          <xdr:col>12</xdr:col>
          <xdr:colOff>289560</xdr:colOff>
          <xdr:row>8</xdr:row>
          <xdr:rowOff>22860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7</xdr:row>
          <xdr:rowOff>182880</xdr:rowOff>
        </xdr:from>
        <xdr:to>
          <xdr:col>12</xdr:col>
          <xdr:colOff>289560</xdr:colOff>
          <xdr:row>9</xdr:row>
          <xdr:rowOff>7620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182880</xdr:rowOff>
        </xdr:from>
        <xdr:to>
          <xdr:col>12</xdr:col>
          <xdr:colOff>289560</xdr:colOff>
          <xdr:row>10</xdr:row>
          <xdr:rowOff>7620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160020</xdr:rowOff>
        </xdr:from>
        <xdr:to>
          <xdr:col>12</xdr:col>
          <xdr:colOff>289560</xdr:colOff>
          <xdr:row>11</xdr:row>
          <xdr:rowOff>7620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160020</xdr:rowOff>
        </xdr:from>
        <xdr:to>
          <xdr:col>12</xdr:col>
          <xdr:colOff>289560</xdr:colOff>
          <xdr:row>12</xdr:row>
          <xdr:rowOff>7620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175260</xdr:rowOff>
        </xdr:from>
        <xdr:to>
          <xdr:col>12</xdr:col>
          <xdr:colOff>297180</xdr:colOff>
          <xdr:row>13</xdr:row>
          <xdr:rowOff>22860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175260</xdr:rowOff>
        </xdr:from>
        <xdr:to>
          <xdr:col>12</xdr:col>
          <xdr:colOff>297180</xdr:colOff>
          <xdr:row>14</xdr:row>
          <xdr:rowOff>7620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175260</xdr:rowOff>
        </xdr:from>
        <xdr:to>
          <xdr:col>12</xdr:col>
          <xdr:colOff>297180</xdr:colOff>
          <xdr:row>15</xdr:row>
          <xdr:rowOff>7620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160020</xdr:rowOff>
        </xdr:from>
        <xdr:to>
          <xdr:col>12</xdr:col>
          <xdr:colOff>297180</xdr:colOff>
          <xdr:row>16</xdr:row>
          <xdr:rowOff>7620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160020</xdr:rowOff>
        </xdr:from>
        <xdr:to>
          <xdr:col>12</xdr:col>
          <xdr:colOff>297180</xdr:colOff>
          <xdr:row>17</xdr:row>
          <xdr:rowOff>7620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160020</xdr:rowOff>
        </xdr:from>
        <xdr:to>
          <xdr:col>12</xdr:col>
          <xdr:colOff>297180</xdr:colOff>
          <xdr:row>18</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160020</xdr:rowOff>
        </xdr:from>
        <xdr:to>
          <xdr:col>12</xdr:col>
          <xdr:colOff>297180</xdr:colOff>
          <xdr:row>19</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182880</xdr:rowOff>
        </xdr:from>
        <xdr:to>
          <xdr:col>12</xdr:col>
          <xdr:colOff>297180</xdr:colOff>
          <xdr:row>20</xdr:row>
          <xdr:rowOff>22860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175260</xdr:rowOff>
        </xdr:from>
        <xdr:to>
          <xdr:col>12</xdr:col>
          <xdr:colOff>297180</xdr:colOff>
          <xdr:row>21</xdr:row>
          <xdr:rowOff>7620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175260</xdr:rowOff>
        </xdr:from>
        <xdr:to>
          <xdr:col>12</xdr:col>
          <xdr:colOff>297180</xdr:colOff>
          <xdr:row>22</xdr:row>
          <xdr:rowOff>7620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175260</xdr:rowOff>
        </xdr:from>
        <xdr:to>
          <xdr:col>12</xdr:col>
          <xdr:colOff>297180</xdr:colOff>
          <xdr:row>23</xdr:row>
          <xdr:rowOff>7620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160020</xdr:rowOff>
        </xdr:from>
        <xdr:to>
          <xdr:col>12</xdr:col>
          <xdr:colOff>297180</xdr:colOff>
          <xdr:row>24</xdr:row>
          <xdr:rowOff>7620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23</xdr:row>
          <xdr:rowOff>190500</xdr:rowOff>
        </xdr:from>
        <xdr:to>
          <xdr:col>12</xdr:col>
          <xdr:colOff>297180</xdr:colOff>
          <xdr:row>25</xdr:row>
          <xdr:rowOff>22860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24</xdr:row>
          <xdr:rowOff>182880</xdr:rowOff>
        </xdr:from>
        <xdr:to>
          <xdr:col>12</xdr:col>
          <xdr:colOff>297180</xdr:colOff>
          <xdr:row>26</xdr:row>
          <xdr:rowOff>7620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25</xdr:row>
          <xdr:rowOff>175260</xdr:rowOff>
        </xdr:from>
        <xdr:to>
          <xdr:col>12</xdr:col>
          <xdr:colOff>297180</xdr:colOff>
          <xdr:row>27</xdr:row>
          <xdr:rowOff>7620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38</xdr:row>
          <xdr:rowOff>350520</xdr:rowOff>
        </xdr:from>
        <xdr:to>
          <xdr:col>11</xdr:col>
          <xdr:colOff>274320</xdr:colOff>
          <xdr:row>40</xdr:row>
          <xdr:rowOff>22860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39</xdr:row>
          <xdr:rowOff>175260</xdr:rowOff>
        </xdr:from>
        <xdr:to>
          <xdr:col>11</xdr:col>
          <xdr:colOff>274320</xdr:colOff>
          <xdr:row>41</xdr:row>
          <xdr:rowOff>7620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40</xdr:row>
          <xdr:rowOff>175260</xdr:rowOff>
        </xdr:from>
        <xdr:to>
          <xdr:col>11</xdr:col>
          <xdr:colOff>274320</xdr:colOff>
          <xdr:row>42</xdr:row>
          <xdr:rowOff>7620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41</xdr:row>
          <xdr:rowOff>175260</xdr:rowOff>
        </xdr:from>
        <xdr:to>
          <xdr:col>11</xdr:col>
          <xdr:colOff>274320</xdr:colOff>
          <xdr:row>43</xdr:row>
          <xdr:rowOff>7620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42</xdr:row>
          <xdr:rowOff>160020</xdr:rowOff>
        </xdr:from>
        <xdr:to>
          <xdr:col>11</xdr:col>
          <xdr:colOff>274320</xdr:colOff>
          <xdr:row>44</xdr:row>
          <xdr:rowOff>7620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38</xdr:row>
          <xdr:rowOff>342900</xdr:rowOff>
        </xdr:from>
        <xdr:to>
          <xdr:col>12</xdr:col>
          <xdr:colOff>289560</xdr:colOff>
          <xdr:row>40</xdr:row>
          <xdr:rowOff>7620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39</xdr:row>
          <xdr:rowOff>160020</xdr:rowOff>
        </xdr:from>
        <xdr:to>
          <xdr:col>12</xdr:col>
          <xdr:colOff>289560</xdr:colOff>
          <xdr:row>41</xdr:row>
          <xdr:rowOff>7620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40</xdr:row>
          <xdr:rowOff>160020</xdr:rowOff>
        </xdr:from>
        <xdr:to>
          <xdr:col>12</xdr:col>
          <xdr:colOff>289560</xdr:colOff>
          <xdr:row>42</xdr:row>
          <xdr:rowOff>7620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41</xdr:row>
          <xdr:rowOff>160020</xdr:rowOff>
        </xdr:from>
        <xdr:to>
          <xdr:col>12</xdr:col>
          <xdr:colOff>289560</xdr:colOff>
          <xdr:row>43</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42</xdr:row>
          <xdr:rowOff>160020</xdr:rowOff>
        </xdr:from>
        <xdr:to>
          <xdr:col>12</xdr:col>
          <xdr:colOff>289560</xdr:colOff>
          <xdr:row>44</xdr:row>
          <xdr:rowOff>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43</xdr:row>
          <xdr:rowOff>182880</xdr:rowOff>
        </xdr:from>
        <xdr:to>
          <xdr:col>11</xdr:col>
          <xdr:colOff>297180</xdr:colOff>
          <xdr:row>45</xdr:row>
          <xdr:rowOff>22860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44</xdr:row>
          <xdr:rowOff>175260</xdr:rowOff>
        </xdr:from>
        <xdr:to>
          <xdr:col>11</xdr:col>
          <xdr:colOff>297180</xdr:colOff>
          <xdr:row>46</xdr:row>
          <xdr:rowOff>7620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45</xdr:row>
          <xdr:rowOff>175260</xdr:rowOff>
        </xdr:from>
        <xdr:to>
          <xdr:col>11</xdr:col>
          <xdr:colOff>297180</xdr:colOff>
          <xdr:row>47</xdr:row>
          <xdr:rowOff>7620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46</xdr:row>
          <xdr:rowOff>175260</xdr:rowOff>
        </xdr:from>
        <xdr:to>
          <xdr:col>11</xdr:col>
          <xdr:colOff>297180</xdr:colOff>
          <xdr:row>48</xdr:row>
          <xdr:rowOff>7620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47</xdr:row>
          <xdr:rowOff>160020</xdr:rowOff>
        </xdr:from>
        <xdr:to>
          <xdr:col>11</xdr:col>
          <xdr:colOff>297180</xdr:colOff>
          <xdr:row>49</xdr:row>
          <xdr:rowOff>7620</xdr:rowOff>
        </xdr:to>
        <xdr:sp macro="" textlink="">
          <xdr:nvSpPr>
            <xdr:cNvPr id="1327" name="Check Box 303" hidden="1">
              <a:extLst>
                <a:ext uri="{63B3BB69-23CF-44E3-9099-C40C66FF867C}">
                  <a14:compatExt spid="_x0000_s1327"/>
                </a:ext>
                <a:ext uri="{FF2B5EF4-FFF2-40B4-BE49-F238E27FC236}">
                  <a16:creationId xmlns:a16="http://schemas.microsoft.com/office/drawing/2014/main" id="{00000000-0008-0000-0000-00002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43</xdr:row>
          <xdr:rowOff>182880</xdr:rowOff>
        </xdr:from>
        <xdr:to>
          <xdr:col>12</xdr:col>
          <xdr:colOff>297180</xdr:colOff>
          <xdr:row>45</xdr:row>
          <xdr:rowOff>22860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44</xdr:row>
          <xdr:rowOff>175260</xdr:rowOff>
        </xdr:from>
        <xdr:to>
          <xdr:col>12</xdr:col>
          <xdr:colOff>297180</xdr:colOff>
          <xdr:row>46</xdr:row>
          <xdr:rowOff>7620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45</xdr:row>
          <xdr:rowOff>175260</xdr:rowOff>
        </xdr:from>
        <xdr:to>
          <xdr:col>12</xdr:col>
          <xdr:colOff>297180</xdr:colOff>
          <xdr:row>47</xdr:row>
          <xdr:rowOff>7620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46</xdr:row>
          <xdr:rowOff>175260</xdr:rowOff>
        </xdr:from>
        <xdr:to>
          <xdr:col>12</xdr:col>
          <xdr:colOff>297180</xdr:colOff>
          <xdr:row>48</xdr:row>
          <xdr:rowOff>7620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47</xdr:row>
          <xdr:rowOff>160020</xdr:rowOff>
        </xdr:from>
        <xdr:to>
          <xdr:col>12</xdr:col>
          <xdr:colOff>297180</xdr:colOff>
          <xdr:row>49</xdr:row>
          <xdr:rowOff>7620</xdr:rowOff>
        </xdr:to>
        <xdr:sp macro="" textlink="">
          <xdr:nvSpPr>
            <xdr:cNvPr id="1332" name="Check Box 308" hidden="1">
              <a:extLst>
                <a:ext uri="{63B3BB69-23CF-44E3-9099-C40C66FF867C}">
                  <a14:compatExt spid="_x0000_s1332"/>
                </a:ext>
                <a:ext uri="{FF2B5EF4-FFF2-40B4-BE49-F238E27FC236}">
                  <a16:creationId xmlns:a16="http://schemas.microsoft.com/office/drawing/2014/main" id="{00000000-0008-0000-0000-00003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49</xdr:row>
          <xdr:rowOff>175260</xdr:rowOff>
        </xdr:from>
        <xdr:to>
          <xdr:col>11</xdr:col>
          <xdr:colOff>297180</xdr:colOff>
          <xdr:row>51</xdr:row>
          <xdr:rowOff>7620</xdr:rowOff>
        </xdr:to>
        <xdr:sp macro="" textlink="">
          <xdr:nvSpPr>
            <xdr:cNvPr id="1334" name="Check Box 310" hidden="1">
              <a:extLst>
                <a:ext uri="{63B3BB69-23CF-44E3-9099-C40C66FF867C}">
                  <a14:compatExt spid="_x0000_s1334"/>
                </a:ext>
                <a:ext uri="{FF2B5EF4-FFF2-40B4-BE49-F238E27FC236}">
                  <a16:creationId xmlns:a16="http://schemas.microsoft.com/office/drawing/2014/main" id="{00000000-0008-0000-0000-00003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48</xdr:row>
          <xdr:rowOff>182880</xdr:rowOff>
        </xdr:from>
        <xdr:to>
          <xdr:col>11</xdr:col>
          <xdr:colOff>297180</xdr:colOff>
          <xdr:row>50</xdr:row>
          <xdr:rowOff>7620</xdr:rowOff>
        </xdr:to>
        <xdr:sp macro="" textlink="">
          <xdr:nvSpPr>
            <xdr:cNvPr id="1333" name="Check Box 309" hidden="1">
              <a:extLst>
                <a:ext uri="{63B3BB69-23CF-44E3-9099-C40C66FF867C}">
                  <a14:compatExt spid="_x0000_s1333"/>
                </a:ext>
                <a:ext uri="{FF2B5EF4-FFF2-40B4-BE49-F238E27FC236}">
                  <a16:creationId xmlns:a16="http://schemas.microsoft.com/office/drawing/2014/main" id="{00000000-0008-0000-0000-00003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48</xdr:row>
          <xdr:rowOff>182880</xdr:rowOff>
        </xdr:from>
        <xdr:to>
          <xdr:col>12</xdr:col>
          <xdr:colOff>297180</xdr:colOff>
          <xdr:row>50</xdr:row>
          <xdr:rowOff>7620</xdr:rowOff>
        </xdr:to>
        <xdr:sp macro="" textlink="">
          <xdr:nvSpPr>
            <xdr:cNvPr id="1335" name="Check Box 311" hidden="1">
              <a:extLst>
                <a:ext uri="{63B3BB69-23CF-44E3-9099-C40C66FF867C}">
                  <a14:compatExt spid="_x0000_s1335"/>
                </a:ext>
                <a:ext uri="{FF2B5EF4-FFF2-40B4-BE49-F238E27FC236}">
                  <a16:creationId xmlns:a16="http://schemas.microsoft.com/office/drawing/2014/main" id="{00000000-0008-0000-0000-00003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49</xdr:row>
          <xdr:rowOff>175260</xdr:rowOff>
        </xdr:from>
        <xdr:to>
          <xdr:col>12</xdr:col>
          <xdr:colOff>297180</xdr:colOff>
          <xdr:row>51</xdr:row>
          <xdr:rowOff>7620</xdr:rowOff>
        </xdr:to>
        <xdr:sp macro="" textlink="">
          <xdr:nvSpPr>
            <xdr:cNvPr id="1336" name="Check Box 312" hidden="1">
              <a:extLst>
                <a:ext uri="{63B3BB69-23CF-44E3-9099-C40C66FF867C}">
                  <a14:compatExt spid="_x0000_s1336"/>
                </a:ext>
                <a:ext uri="{FF2B5EF4-FFF2-40B4-BE49-F238E27FC236}">
                  <a16:creationId xmlns:a16="http://schemas.microsoft.com/office/drawing/2014/main" id="{00000000-0008-0000-0000-00003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234C3E3-7214-49ED-AB57-2F69E62F5D00}" name="Aircraft" displayName="Aircraft" ref="A1:B6" totalsRowShown="0">
  <autoFilter ref="A1:B6" xr:uid="{F234C3E3-7214-49ED-AB57-2F69E62F5D00}"/>
  <tableColumns count="2">
    <tableColumn id="1" xr3:uid="{DB1FABA4-2895-4BC5-BEA6-45FB63E74F78}" name="Number" dataDxfId="12"/>
    <tableColumn id="2" xr3:uid="{3360EE69-8E91-466A-859D-B2E9EC75CE92}" name="Tail Letter"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09142A8-2D14-4C10-AE65-2DEE0AF1A61A}" name="Formatted" displayName="Formatted" ref="A1:L36" totalsRowShown="0" headerRowDxfId="10">
  <autoFilter ref="A1:L36" xr:uid="{F09142A8-2D14-4C10-AE65-2DEE0AF1A61A}"/>
  <tableColumns count="12">
    <tableColumn id="1" xr3:uid="{0D1E3720-76C6-4824-876F-81B7C1A732B8}" name="AircraftCommander" dataDxfId="9">
      <calculatedColumnFormula>'2965D'!B17</calculatedColumnFormula>
    </tableColumn>
    <tableColumn id="2" xr3:uid="{B435845D-04DF-4496-AEDB-A0892FF9CAA1}" name="2ndPilot" dataDxfId="8"/>
    <tableColumn id="3" xr3:uid="{385ADB09-461F-4939-B9F6-E95D935F50C9}" name="Duty" dataDxfId="7"/>
    <tableColumn id="4" xr3:uid="{B5DCA725-EE10-47FD-9EC3-782215F305F5}" name="TakeOffTime" dataDxfId="6"/>
    <tableColumn id="5" xr3:uid="{47D0EB29-B146-4E66-ABEB-6C3C354EDC40}" name="LandingTime" dataDxfId="5"/>
    <tableColumn id="6" xr3:uid="{153EC314-EB34-498B-93C8-A6AE270FEA08}" name="FlightTime" dataDxfId="4">
      <calculatedColumnFormula>ROUND((Formatted[[#This Row],[LandingTime]]-Formatted[[#This Row],[TakeOffTime]]) * 1440, 0)</calculatedColumnFormula>
    </tableColumn>
    <tableColumn id="7" xr3:uid="{27FE7015-B8E0-4D60-8900-74723F655578}" name="SPC" dataDxfId="3">
      <calculatedColumnFormula>'2965D'!O5</calculatedColumnFormula>
    </tableColumn>
    <tableColumn id="8" xr3:uid="{92D68975-6E2C-434C-8D7C-5E0B27815C5E}" name="PLF" dataDxfId="2"/>
    <tableColumn id="9" xr3:uid="{1E69DD07-929F-4285-980B-B29B868E4A58}" name="Aircraft" dataDxfId="1">
      <calculatedColumnFormula>'2965D'!$F$1</calculatedColumnFormula>
    </tableColumn>
    <tableColumn id="10" xr3:uid="{40795E73-6F32-4B4E-A29E-955172439D39}" name="Date" dataDxfId="0">
      <calculatedColumnFormula>'2965D'!$O$1</calculatedColumnFormula>
    </tableColumn>
    <tableColumn id="11" xr3:uid="{38C93247-AC01-43C8-948A-A236C928F2E5}" name="P1"/>
    <tableColumn id="12" xr3:uid="{B62F82B9-CBE0-4EE7-8516-CE1B5D86BBB0}" name="P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omments" Target="../comments1.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fac.sharepoint.com/:f:/s/interim/2%20FTS/661VGS/Elz_R-9-acZEofGuQS8halsBaSbD3xRsnJcjK7ZWmVrM0Q?e=ICynZv"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46DC7-851D-4212-A614-0052753F8C6C}">
  <sheetPr>
    <pageSetUpPr fitToPage="1"/>
  </sheetPr>
  <dimension ref="A1:T57"/>
  <sheetViews>
    <sheetView showGridLines="0" tabSelected="1" zoomScale="115" zoomScaleNormal="115" zoomScaleSheetLayoutView="115" workbookViewId="0">
      <pane ySplit="4" topLeftCell="A5" activePane="bottomLeft" state="frozen"/>
      <selection pane="bottomLeft" activeCell="F1" sqref="F1"/>
    </sheetView>
  </sheetViews>
  <sheetFormatPr defaultColWidth="8.6640625" defaultRowHeight="13.8" x14ac:dyDescent="0.25"/>
  <cols>
    <col min="1" max="1" width="4.109375" style="1" customWidth="1"/>
    <col min="2" max="2" width="18.44140625" style="1" customWidth="1"/>
    <col min="3" max="3" width="19.109375" style="1" customWidth="1"/>
    <col min="4" max="6" width="8.6640625" style="1"/>
    <col min="7" max="13" width="5.109375" style="1" customWidth="1"/>
    <col min="14" max="14" width="6.5546875" style="1" customWidth="1"/>
    <col min="15" max="15" width="5.5546875" style="1" customWidth="1"/>
    <col min="16" max="16" width="5.109375" style="1" customWidth="1"/>
    <col min="17" max="17" width="5.44140625" style="1" bestFit="1" customWidth="1"/>
    <col min="18" max="19" width="5.109375" style="1" customWidth="1"/>
    <col min="20" max="20" width="7.44140625" style="1" customWidth="1"/>
    <col min="21" max="16384" width="8.6640625" style="1"/>
  </cols>
  <sheetData>
    <row r="1" spans="1:20" ht="14.4" customHeight="1" thickBot="1" x14ac:dyDescent="0.3">
      <c r="C1" s="2" t="s">
        <v>2</v>
      </c>
      <c r="D1" s="190" t="s">
        <v>3</v>
      </c>
      <c r="E1" s="190"/>
      <c r="F1" s="108"/>
      <c r="G1" s="3"/>
      <c r="H1" s="191" t="s">
        <v>4</v>
      </c>
      <c r="I1" s="191"/>
      <c r="J1" s="191"/>
      <c r="K1" s="191"/>
      <c r="L1" s="139" t="str">
        <f>IF($F1="", "", _xlfn.XLOOKUP(F1, Aircraft[Number], Aircraft[Tail Letter]))</f>
        <v/>
      </c>
      <c r="N1" s="3" t="s">
        <v>5</v>
      </c>
      <c r="O1" s="192"/>
      <c r="P1" s="192"/>
      <c r="Q1" s="192"/>
    </row>
    <row r="2" spans="1:20" ht="13.95" customHeight="1" x14ac:dyDescent="0.25">
      <c r="A2" s="169" t="s">
        <v>6</v>
      </c>
      <c r="B2" s="110"/>
      <c r="C2" s="113"/>
      <c r="D2" s="115"/>
      <c r="E2" s="119"/>
      <c r="F2" s="121"/>
      <c r="G2" s="179" t="s">
        <v>7</v>
      </c>
      <c r="H2" s="180"/>
      <c r="I2" s="181"/>
      <c r="J2" s="179" t="s">
        <v>8</v>
      </c>
      <c r="K2" s="180"/>
      <c r="L2" s="175" t="s">
        <v>9</v>
      </c>
      <c r="M2" s="176"/>
      <c r="N2" s="172" t="s">
        <v>10</v>
      </c>
      <c r="O2" s="188" t="s">
        <v>11</v>
      </c>
      <c r="P2" s="182" t="s">
        <v>12</v>
      </c>
      <c r="Q2" s="180"/>
      <c r="R2" s="181"/>
      <c r="S2" s="163" t="s">
        <v>13</v>
      </c>
      <c r="T2" s="166" t="s">
        <v>14</v>
      </c>
    </row>
    <row r="3" spans="1:20" x14ac:dyDescent="0.25">
      <c r="A3" s="170"/>
      <c r="B3" s="111"/>
      <c r="C3" s="114"/>
      <c r="D3" s="116"/>
      <c r="E3" s="120"/>
      <c r="F3" s="120"/>
      <c r="G3" s="7" t="s">
        <v>15</v>
      </c>
      <c r="H3" s="8" t="s">
        <v>122</v>
      </c>
      <c r="I3" s="156" t="s">
        <v>123</v>
      </c>
      <c r="J3" s="7" t="s">
        <v>18</v>
      </c>
      <c r="K3" s="8" t="s">
        <v>19</v>
      </c>
      <c r="L3" s="177"/>
      <c r="M3" s="178"/>
      <c r="N3" s="173"/>
      <c r="O3" s="189"/>
      <c r="P3" s="183"/>
      <c r="Q3" s="184"/>
      <c r="R3" s="185"/>
      <c r="S3" s="164"/>
      <c r="T3" s="167"/>
    </row>
    <row r="4" spans="1:20" ht="37.5" customHeight="1" thickBot="1" x14ac:dyDescent="0.3">
      <c r="A4" s="171"/>
      <c r="B4" s="112" t="s">
        <v>20</v>
      </c>
      <c r="C4" s="112" t="s">
        <v>21</v>
      </c>
      <c r="D4" s="117" t="s">
        <v>22</v>
      </c>
      <c r="E4" s="118" t="s">
        <v>23</v>
      </c>
      <c r="F4" s="118" t="s">
        <v>24</v>
      </c>
      <c r="G4" s="10" t="s">
        <v>25</v>
      </c>
      <c r="H4" s="11" t="s">
        <v>26</v>
      </c>
      <c r="I4" s="12" t="s">
        <v>27</v>
      </c>
      <c r="J4" s="10" t="s">
        <v>28</v>
      </c>
      <c r="K4" s="11" t="s">
        <v>29</v>
      </c>
      <c r="L4" s="13" t="s">
        <v>30</v>
      </c>
      <c r="M4" s="14" t="s">
        <v>31</v>
      </c>
      <c r="N4" s="174"/>
      <c r="O4" s="189"/>
      <c r="P4" s="10">
        <v>1</v>
      </c>
      <c r="Q4" s="11">
        <v>6</v>
      </c>
      <c r="R4" s="12">
        <v>7</v>
      </c>
      <c r="S4" s="165"/>
      <c r="T4" s="168"/>
    </row>
    <row r="5" spans="1:20" ht="14.4" x14ac:dyDescent="0.3">
      <c r="A5" s="4">
        <v>1</v>
      </c>
      <c r="B5" s="78"/>
      <c r="C5" s="15"/>
      <c r="D5" s="16"/>
      <c r="E5" s="17"/>
      <c r="F5" s="17"/>
      <c r="G5" s="41" t="str">
        <f>IF($D5="","",IF($D5=G$3,$F5-$E5,""))</f>
        <v/>
      </c>
      <c r="H5" s="42" t="str">
        <f>IF($D5="","",IF($D5=H$3,$F5-$E5,""))</f>
        <v/>
      </c>
      <c r="I5" s="43" t="str">
        <f t="shared" ref="H5:I20" si="0">IF($D5="","",IF($D5=I$3,$F5-$E5,""))</f>
        <v/>
      </c>
      <c r="J5" s="41" t="str">
        <f>IF($D5="","",IF($D5=CONCATENATE(J$2," ",J$3),$F5-$E5,""))</f>
        <v/>
      </c>
      <c r="K5" s="42" t="str">
        <f>IF($D5="","",IF($D5=CONCATENATE(J$2," ",K$3),$F5-$E5,""))</f>
        <v/>
      </c>
      <c r="L5" s="5"/>
      <c r="M5" s="16"/>
      <c r="N5" s="72" t="str">
        <f t="shared" ref="N5:N27" si="1">IF($D5="","",IF($D5="PAX",$F5-$E5,""))</f>
        <v/>
      </c>
      <c r="O5" s="83" t="str">
        <f>IF(ISBLANK(F5), "", IF(F5-E5 &gt; TIME(0,9,30), 6, 1))</f>
        <v/>
      </c>
      <c r="P5" s="41" t="str">
        <f>IF($O5=P$4,F5-E5,"")</f>
        <v/>
      </c>
      <c r="Q5" s="42" t="str">
        <f>IF($O5=6,F5-E5,"")</f>
        <v/>
      </c>
      <c r="R5" s="43" t="str">
        <f>IF($O5=R$4,F5-E5,"")</f>
        <v/>
      </c>
      <c r="S5" s="88"/>
      <c r="T5" s="18"/>
    </row>
    <row r="6" spans="1:20" ht="14.4" x14ac:dyDescent="0.3">
      <c r="A6" s="7">
        <v>2</v>
      </c>
      <c r="B6" s="19"/>
      <c r="C6" s="19"/>
      <c r="D6" s="20"/>
      <c r="E6" s="21"/>
      <c r="F6" s="21"/>
      <c r="G6" s="45" t="str">
        <f>IF($D6="","",IF($D6=G$3,$F6-$E6,""))</f>
        <v/>
      </c>
      <c r="H6" s="46" t="str">
        <f>IF($D6="","",IF($D6=H$3,$F6-$E6,""))</f>
        <v/>
      </c>
      <c r="I6" s="47" t="str">
        <f t="shared" si="0"/>
        <v/>
      </c>
      <c r="J6" s="45" t="str">
        <f t="shared" ref="J6:J27" si="2">IF($D6="","",IF($D6=CONCATENATE(J$2," ",J$3),$F6-$E6,""))</f>
        <v/>
      </c>
      <c r="K6" s="60" t="str">
        <f t="shared" ref="K6:K27" si="3">IF($D6="","",IF($D6=CONCATENATE(J$2," ",K$3),$F6-$E6,""))</f>
        <v/>
      </c>
      <c r="L6" s="8"/>
      <c r="M6" s="20"/>
      <c r="N6" s="73" t="str">
        <f t="shared" si="1"/>
        <v/>
      </c>
      <c r="O6" s="84" t="str">
        <f t="shared" ref="O6:O27" si="4">IF(ISBLANK(F6), "", IF(F6-E6 &gt; TIME(0,9,30), 6, 1))</f>
        <v/>
      </c>
      <c r="P6" s="45" t="str">
        <f>IF($O6=P$4,F6-E6,"")</f>
        <v/>
      </c>
      <c r="Q6" s="46" t="str">
        <f>IF($O6=6,F6-E6,"")</f>
        <v/>
      </c>
      <c r="R6" s="47" t="str">
        <f t="shared" ref="R6:R27" si="5">IF($O6=R$4,F6-E6,"")</f>
        <v/>
      </c>
      <c r="S6" s="89"/>
      <c r="T6" s="22"/>
    </row>
    <row r="7" spans="1:20" ht="14.4" x14ac:dyDescent="0.3">
      <c r="A7" s="7">
        <v>3</v>
      </c>
      <c r="B7" s="19"/>
      <c r="C7" s="19"/>
      <c r="D7" s="20"/>
      <c r="E7" s="21"/>
      <c r="F7" s="21"/>
      <c r="G7" s="45" t="str">
        <f t="shared" ref="G7:G27" si="6">IF($D7="","",IF($D7=G$3,$F7-$E7,""))</f>
        <v/>
      </c>
      <c r="H7" s="46" t="str">
        <f t="shared" si="0"/>
        <v/>
      </c>
      <c r="I7" s="47" t="str">
        <f t="shared" si="0"/>
        <v/>
      </c>
      <c r="J7" s="45" t="str">
        <f t="shared" si="2"/>
        <v/>
      </c>
      <c r="K7" s="48" t="str">
        <f t="shared" si="3"/>
        <v/>
      </c>
      <c r="L7" s="8"/>
      <c r="M7" s="20"/>
      <c r="N7" s="73" t="str">
        <f t="shared" si="1"/>
        <v/>
      </c>
      <c r="O7" s="84" t="str">
        <f t="shared" si="4"/>
        <v/>
      </c>
      <c r="P7" s="45" t="str">
        <f t="shared" ref="P7:P27" si="7">IF($O7=P$4,F7-E7,"")</f>
        <v/>
      </c>
      <c r="Q7" s="46" t="str">
        <f t="shared" ref="Q7:Q27" si="8">IF($O7=6,F7-E7,"")</f>
        <v/>
      </c>
      <c r="R7" s="47" t="str">
        <f t="shared" si="5"/>
        <v/>
      </c>
      <c r="S7" s="89"/>
      <c r="T7" s="22"/>
    </row>
    <row r="8" spans="1:20" ht="14.4" x14ac:dyDescent="0.3">
      <c r="A8" s="7">
        <v>4</v>
      </c>
      <c r="B8" s="19"/>
      <c r="C8" s="19"/>
      <c r="D8" s="20"/>
      <c r="E8" s="21"/>
      <c r="F8" s="21"/>
      <c r="G8" s="45" t="str">
        <f t="shared" si="6"/>
        <v/>
      </c>
      <c r="H8" s="46" t="str">
        <f t="shared" si="0"/>
        <v/>
      </c>
      <c r="I8" s="47" t="str">
        <f t="shared" si="0"/>
        <v/>
      </c>
      <c r="J8" s="45" t="str">
        <f t="shared" si="2"/>
        <v/>
      </c>
      <c r="K8" s="48" t="str">
        <f t="shared" si="3"/>
        <v/>
      </c>
      <c r="L8" s="8"/>
      <c r="M8" s="20"/>
      <c r="N8" s="73" t="str">
        <f t="shared" si="1"/>
        <v/>
      </c>
      <c r="O8" s="84" t="str">
        <f t="shared" si="4"/>
        <v/>
      </c>
      <c r="P8" s="45" t="str">
        <f t="shared" si="7"/>
        <v/>
      </c>
      <c r="Q8" s="46" t="str">
        <f t="shared" si="8"/>
        <v/>
      </c>
      <c r="R8" s="47" t="str">
        <f t="shared" si="5"/>
        <v/>
      </c>
      <c r="S8" s="89"/>
      <c r="T8" s="22"/>
    </row>
    <row r="9" spans="1:20" ht="15" thickBot="1" x14ac:dyDescent="0.35">
      <c r="A9" s="23">
        <v>5</v>
      </c>
      <c r="B9" s="24"/>
      <c r="C9" s="24"/>
      <c r="D9" s="25"/>
      <c r="E9" s="26"/>
      <c r="F9" s="26"/>
      <c r="G9" s="49" t="str">
        <f t="shared" si="6"/>
        <v/>
      </c>
      <c r="H9" s="50" t="str">
        <f t="shared" si="0"/>
        <v/>
      </c>
      <c r="I9" s="51" t="str">
        <f t="shared" si="0"/>
        <v/>
      </c>
      <c r="J9" s="49" t="str">
        <f t="shared" si="2"/>
        <v/>
      </c>
      <c r="K9" s="52" t="str">
        <f t="shared" si="3"/>
        <v/>
      </c>
      <c r="L9" s="27"/>
      <c r="M9" s="25"/>
      <c r="N9" s="74" t="str">
        <f t="shared" si="1"/>
        <v/>
      </c>
      <c r="O9" s="141" t="str">
        <f t="shared" si="4"/>
        <v/>
      </c>
      <c r="P9" s="53" t="str">
        <f t="shared" si="7"/>
        <v/>
      </c>
      <c r="Q9" s="54" t="str">
        <f t="shared" si="8"/>
        <v/>
      </c>
      <c r="R9" s="55" t="str">
        <f t="shared" si="5"/>
        <v/>
      </c>
      <c r="S9" s="90"/>
      <c r="T9" s="28"/>
    </row>
    <row r="10" spans="1:20" ht="14.4" x14ac:dyDescent="0.3">
      <c r="A10" s="29">
        <v>6</v>
      </c>
      <c r="B10" s="30"/>
      <c r="C10" s="30"/>
      <c r="D10" s="31"/>
      <c r="E10" s="17"/>
      <c r="F10" s="17"/>
      <c r="G10" s="41" t="str">
        <f t="shared" si="6"/>
        <v/>
      </c>
      <c r="H10" s="42" t="str">
        <f t="shared" si="0"/>
        <v/>
      </c>
      <c r="I10" s="43" t="str">
        <f t="shared" si="0"/>
        <v/>
      </c>
      <c r="J10" s="41" t="str">
        <f t="shared" si="2"/>
        <v/>
      </c>
      <c r="K10" s="44" t="str">
        <f t="shared" si="3"/>
        <v/>
      </c>
      <c r="L10" s="32"/>
      <c r="M10" s="31"/>
      <c r="N10" s="75" t="str">
        <f t="shared" si="1"/>
        <v/>
      </c>
      <c r="O10" s="140" t="str">
        <f t="shared" si="4"/>
        <v/>
      </c>
      <c r="P10" s="57" t="str">
        <f t="shared" si="7"/>
        <v/>
      </c>
      <c r="Q10" s="58" t="str">
        <f t="shared" si="8"/>
        <v/>
      </c>
      <c r="R10" s="59" t="str">
        <f t="shared" si="5"/>
        <v/>
      </c>
      <c r="S10" s="91"/>
      <c r="T10" s="33"/>
    </row>
    <row r="11" spans="1:20" ht="14.4" x14ac:dyDescent="0.3">
      <c r="A11" s="7">
        <v>7</v>
      </c>
      <c r="B11" s="19"/>
      <c r="C11" s="19"/>
      <c r="D11" s="20"/>
      <c r="E11" s="21"/>
      <c r="F11" s="21"/>
      <c r="G11" s="45" t="str">
        <f t="shared" si="6"/>
        <v/>
      </c>
      <c r="H11" s="46" t="str">
        <f t="shared" si="0"/>
        <v/>
      </c>
      <c r="I11" s="47" t="str">
        <f t="shared" si="0"/>
        <v/>
      </c>
      <c r="J11" s="45" t="str">
        <f t="shared" si="2"/>
        <v/>
      </c>
      <c r="K11" s="48" t="str">
        <f t="shared" si="3"/>
        <v/>
      </c>
      <c r="L11" s="8"/>
      <c r="M11" s="20"/>
      <c r="N11" s="73" t="str">
        <f t="shared" si="1"/>
        <v/>
      </c>
      <c r="O11" s="84" t="str">
        <f t="shared" si="4"/>
        <v/>
      </c>
      <c r="P11" s="45" t="str">
        <f t="shared" si="7"/>
        <v/>
      </c>
      <c r="Q11" s="46" t="str">
        <f t="shared" si="8"/>
        <v/>
      </c>
      <c r="R11" s="47" t="str">
        <f t="shared" si="5"/>
        <v/>
      </c>
      <c r="S11" s="89"/>
      <c r="T11" s="22"/>
    </row>
    <row r="12" spans="1:20" ht="14.4" x14ac:dyDescent="0.3">
      <c r="A12" s="7">
        <v>8</v>
      </c>
      <c r="B12" s="19"/>
      <c r="C12" s="19"/>
      <c r="D12" s="20"/>
      <c r="E12" s="21"/>
      <c r="F12" s="21"/>
      <c r="G12" s="45" t="str">
        <f t="shared" si="6"/>
        <v/>
      </c>
      <c r="H12" s="46" t="str">
        <f t="shared" si="0"/>
        <v/>
      </c>
      <c r="I12" s="47" t="str">
        <f t="shared" si="0"/>
        <v/>
      </c>
      <c r="J12" s="45" t="str">
        <f t="shared" si="2"/>
        <v/>
      </c>
      <c r="K12" s="48" t="str">
        <f t="shared" si="3"/>
        <v/>
      </c>
      <c r="L12" s="8"/>
      <c r="M12" s="20"/>
      <c r="N12" s="73" t="str">
        <f t="shared" si="1"/>
        <v/>
      </c>
      <c r="O12" s="84" t="str">
        <f t="shared" si="4"/>
        <v/>
      </c>
      <c r="P12" s="45" t="str">
        <f t="shared" si="7"/>
        <v/>
      </c>
      <c r="Q12" s="46" t="str">
        <f t="shared" si="8"/>
        <v/>
      </c>
      <c r="R12" s="47" t="str">
        <f t="shared" si="5"/>
        <v/>
      </c>
      <c r="S12" s="89"/>
      <c r="T12" s="22"/>
    </row>
    <row r="13" spans="1:20" ht="14.4" x14ac:dyDescent="0.3">
      <c r="A13" s="7">
        <v>9</v>
      </c>
      <c r="B13" s="19"/>
      <c r="C13" s="19"/>
      <c r="D13" s="20"/>
      <c r="E13" s="21"/>
      <c r="F13" s="21"/>
      <c r="G13" s="45" t="str">
        <f t="shared" si="6"/>
        <v/>
      </c>
      <c r="H13" s="46" t="str">
        <f t="shared" si="0"/>
        <v/>
      </c>
      <c r="I13" s="47" t="str">
        <f t="shared" si="0"/>
        <v/>
      </c>
      <c r="J13" s="45" t="str">
        <f t="shared" si="2"/>
        <v/>
      </c>
      <c r="K13" s="48" t="str">
        <f t="shared" si="3"/>
        <v/>
      </c>
      <c r="L13" s="8"/>
      <c r="M13" s="20"/>
      <c r="N13" s="73" t="str">
        <f t="shared" si="1"/>
        <v/>
      </c>
      <c r="O13" s="84" t="str">
        <f t="shared" si="4"/>
        <v/>
      </c>
      <c r="P13" s="45" t="str">
        <f t="shared" si="7"/>
        <v/>
      </c>
      <c r="Q13" s="46" t="str">
        <f t="shared" si="8"/>
        <v/>
      </c>
      <c r="R13" s="47" t="str">
        <f t="shared" si="5"/>
        <v/>
      </c>
      <c r="S13" s="89"/>
      <c r="T13" s="22"/>
    </row>
    <row r="14" spans="1:20" ht="15" thickBot="1" x14ac:dyDescent="0.35">
      <c r="A14" s="10">
        <v>10</v>
      </c>
      <c r="B14" s="34"/>
      <c r="C14" s="34"/>
      <c r="D14" s="14"/>
      <c r="E14" s="35"/>
      <c r="F14" s="35"/>
      <c r="G14" s="53" t="str">
        <f t="shared" si="6"/>
        <v/>
      </c>
      <c r="H14" s="54" t="str">
        <f t="shared" si="0"/>
        <v/>
      </c>
      <c r="I14" s="55" t="str">
        <f t="shared" si="0"/>
        <v/>
      </c>
      <c r="J14" s="53" t="str">
        <f t="shared" si="2"/>
        <v/>
      </c>
      <c r="K14" s="56" t="str">
        <f t="shared" si="3"/>
        <v/>
      </c>
      <c r="L14" s="11"/>
      <c r="M14" s="14"/>
      <c r="N14" s="76" t="str">
        <f t="shared" si="1"/>
        <v/>
      </c>
      <c r="O14" s="86" t="str">
        <f>IF(ISBLANK(F14), "", IF(F14-E14 &gt; TIME(0,9,30), 6, 1))</f>
        <v/>
      </c>
      <c r="P14" s="49" t="str">
        <f t="shared" si="7"/>
        <v/>
      </c>
      <c r="Q14" s="50" t="str">
        <f t="shared" si="8"/>
        <v/>
      </c>
      <c r="R14" s="51" t="str">
        <f t="shared" si="5"/>
        <v/>
      </c>
      <c r="S14" s="92"/>
      <c r="T14" s="36"/>
    </row>
    <row r="15" spans="1:20" ht="14.4" x14ac:dyDescent="0.3">
      <c r="A15" s="4">
        <v>11</v>
      </c>
      <c r="B15" s="15"/>
      <c r="C15" s="15"/>
      <c r="D15" s="16"/>
      <c r="E15" s="37"/>
      <c r="F15" s="37"/>
      <c r="G15" s="57" t="str">
        <f t="shared" si="6"/>
        <v/>
      </c>
      <c r="H15" s="58" t="str">
        <f t="shared" si="0"/>
        <v/>
      </c>
      <c r="I15" s="59" t="str">
        <f t="shared" si="0"/>
        <v/>
      </c>
      <c r="J15" s="57" t="str">
        <f t="shared" si="2"/>
        <v/>
      </c>
      <c r="K15" s="60" t="str">
        <f t="shared" si="3"/>
        <v/>
      </c>
      <c r="L15" s="5"/>
      <c r="M15" s="16"/>
      <c r="N15" s="72" t="str">
        <f t="shared" si="1"/>
        <v/>
      </c>
      <c r="O15" s="87" t="str">
        <f t="shared" si="4"/>
        <v/>
      </c>
      <c r="P15" s="41" t="str">
        <f t="shared" si="7"/>
        <v/>
      </c>
      <c r="Q15" s="42" t="str">
        <f t="shared" si="8"/>
        <v/>
      </c>
      <c r="R15" s="43" t="str">
        <f t="shared" si="5"/>
        <v/>
      </c>
      <c r="S15" s="88"/>
      <c r="T15" s="18"/>
    </row>
    <row r="16" spans="1:20" ht="14.4" x14ac:dyDescent="0.3">
      <c r="A16" s="7">
        <v>12</v>
      </c>
      <c r="B16" s="19"/>
      <c r="C16" s="19"/>
      <c r="D16" s="20"/>
      <c r="E16" s="21"/>
      <c r="F16" s="21"/>
      <c r="G16" s="45" t="str">
        <f t="shared" si="6"/>
        <v/>
      </c>
      <c r="H16" s="46" t="str">
        <f t="shared" si="0"/>
        <v/>
      </c>
      <c r="I16" s="47" t="str">
        <f t="shared" si="0"/>
        <v/>
      </c>
      <c r="J16" s="45" t="str">
        <f t="shared" si="2"/>
        <v/>
      </c>
      <c r="K16" s="48" t="str">
        <f t="shared" si="3"/>
        <v/>
      </c>
      <c r="L16" s="8"/>
      <c r="M16" s="20"/>
      <c r="N16" s="73" t="str">
        <f t="shared" si="1"/>
        <v/>
      </c>
      <c r="O16" s="84" t="str">
        <f t="shared" si="4"/>
        <v/>
      </c>
      <c r="P16" s="45" t="str">
        <f t="shared" si="7"/>
        <v/>
      </c>
      <c r="Q16" s="46" t="str">
        <f t="shared" si="8"/>
        <v/>
      </c>
      <c r="R16" s="47" t="str">
        <f t="shared" si="5"/>
        <v/>
      </c>
      <c r="S16" s="89"/>
      <c r="T16" s="22"/>
    </row>
    <row r="17" spans="1:20" ht="14.4" x14ac:dyDescent="0.3">
      <c r="A17" s="7">
        <v>13</v>
      </c>
      <c r="B17" s="19"/>
      <c r="C17" s="19"/>
      <c r="D17" s="20"/>
      <c r="E17" s="21"/>
      <c r="F17" s="21"/>
      <c r="G17" s="45" t="str">
        <f t="shared" si="6"/>
        <v/>
      </c>
      <c r="H17" s="46" t="str">
        <f t="shared" si="0"/>
        <v/>
      </c>
      <c r="I17" s="47" t="str">
        <f t="shared" si="0"/>
        <v/>
      </c>
      <c r="J17" s="45" t="str">
        <f t="shared" si="2"/>
        <v/>
      </c>
      <c r="K17" s="48" t="str">
        <f t="shared" si="3"/>
        <v/>
      </c>
      <c r="L17" s="8"/>
      <c r="M17" s="20"/>
      <c r="N17" s="73" t="str">
        <f t="shared" si="1"/>
        <v/>
      </c>
      <c r="O17" s="84" t="str">
        <f t="shared" si="4"/>
        <v/>
      </c>
      <c r="P17" s="45" t="str">
        <f t="shared" si="7"/>
        <v/>
      </c>
      <c r="Q17" s="46" t="str">
        <f t="shared" si="8"/>
        <v/>
      </c>
      <c r="R17" s="47" t="str">
        <f t="shared" si="5"/>
        <v/>
      </c>
      <c r="S17" s="89"/>
      <c r="T17" s="22"/>
    </row>
    <row r="18" spans="1:20" ht="14.4" x14ac:dyDescent="0.3">
      <c r="A18" s="7">
        <v>14</v>
      </c>
      <c r="B18" s="19"/>
      <c r="C18" s="19"/>
      <c r="D18" s="20"/>
      <c r="E18" s="21"/>
      <c r="F18" s="21"/>
      <c r="G18" s="45" t="str">
        <f t="shared" si="6"/>
        <v/>
      </c>
      <c r="H18" s="46" t="str">
        <f t="shared" si="0"/>
        <v/>
      </c>
      <c r="I18" s="47" t="str">
        <f t="shared" si="0"/>
        <v/>
      </c>
      <c r="J18" s="45" t="str">
        <f t="shared" si="2"/>
        <v/>
      </c>
      <c r="K18" s="48" t="str">
        <f t="shared" si="3"/>
        <v/>
      </c>
      <c r="L18" s="8"/>
      <c r="M18" s="20"/>
      <c r="N18" s="73" t="str">
        <f t="shared" si="1"/>
        <v/>
      </c>
      <c r="O18" s="84" t="str">
        <f t="shared" si="4"/>
        <v/>
      </c>
      <c r="P18" s="45" t="str">
        <f t="shared" si="7"/>
        <v/>
      </c>
      <c r="Q18" s="46" t="str">
        <f t="shared" si="8"/>
        <v/>
      </c>
      <c r="R18" s="47" t="str">
        <f t="shared" si="5"/>
        <v/>
      </c>
      <c r="S18" s="89"/>
      <c r="T18" s="22"/>
    </row>
    <row r="19" spans="1:20" ht="15" thickBot="1" x14ac:dyDescent="0.35">
      <c r="A19" s="23">
        <v>15</v>
      </c>
      <c r="B19" s="24"/>
      <c r="C19" s="24"/>
      <c r="D19" s="25"/>
      <c r="E19" s="26"/>
      <c r="F19" s="26"/>
      <c r="G19" s="49" t="str">
        <f t="shared" si="6"/>
        <v/>
      </c>
      <c r="H19" s="50" t="str">
        <f t="shared" si="0"/>
        <v/>
      </c>
      <c r="I19" s="51" t="str">
        <f t="shared" si="0"/>
        <v/>
      </c>
      <c r="J19" s="49" t="str">
        <f t="shared" si="2"/>
        <v/>
      </c>
      <c r="K19" s="52" t="str">
        <f t="shared" si="3"/>
        <v/>
      </c>
      <c r="L19" s="27"/>
      <c r="M19" s="25"/>
      <c r="N19" s="74" t="str">
        <f t="shared" si="1"/>
        <v/>
      </c>
      <c r="O19" s="85" t="str">
        <f t="shared" si="4"/>
        <v/>
      </c>
      <c r="P19" s="53" t="str">
        <f t="shared" si="7"/>
        <v/>
      </c>
      <c r="Q19" s="54" t="str">
        <f t="shared" si="8"/>
        <v/>
      </c>
      <c r="R19" s="55" t="str">
        <f t="shared" si="5"/>
        <v/>
      </c>
      <c r="S19" s="90"/>
      <c r="T19" s="28"/>
    </row>
    <row r="20" spans="1:20" ht="14.4" x14ac:dyDescent="0.3">
      <c r="A20" s="29">
        <v>16</v>
      </c>
      <c r="B20" s="30"/>
      <c r="C20" s="30"/>
      <c r="D20" s="31"/>
      <c r="E20" s="17"/>
      <c r="F20" s="17"/>
      <c r="G20" s="41" t="str">
        <f t="shared" si="6"/>
        <v/>
      </c>
      <c r="H20" s="42" t="str">
        <f t="shared" si="0"/>
        <v/>
      </c>
      <c r="I20" s="43" t="str">
        <f t="shared" si="0"/>
        <v/>
      </c>
      <c r="J20" s="41" t="str">
        <f t="shared" si="2"/>
        <v/>
      </c>
      <c r="K20" s="44" t="str">
        <f t="shared" si="3"/>
        <v/>
      </c>
      <c r="L20" s="32"/>
      <c r="M20" s="31"/>
      <c r="N20" s="75" t="str">
        <f t="shared" si="1"/>
        <v/>
      </c>
      <c r="O20" s="83" t="str">
        <f t="shared" si="4"/>
        <v/>
      </c>
      <c r="P20" s="57" t="str">
        <f t="shared" si="7"/>
        <v/>
      </c>
      <c r="Q20" s="58" t="str">
        <f t="shared" si="8"/>
        <v/>
      </c>
      <c r="R20" s="59" t="str">
        <f t="shared" si="5"/>
        <v/>
      </c>
      <c r="S20" s="91"/>
      <c r="T20" s="33"/>
    </row>
    <row r="21" spans="1:20" ht="14.4" x14ac:dyDescent="0.3">
      <c r="A21" s="7">
        <v>17</v>
      </c>
      <c r="B21" s="19"/>
      <c r="C21" s="19"/>
      <c r="D21" s="20"/>
      <c r="E21" s="21"/>
      <c r="F21" s="21"/>
      <c r="G21" s="45" t="str">
        <f t="shared" si="6"/>
        <v/>
      </c>
      <c r="H21" s="46" t="str">
        <f t="shared" ref="H21:I27" si="9">IF($D21="","",IF($D21=H$3,$F21-$E21,""))</f>
        <v/>
      </c>
      <c r="I21" s="47" t="str">
        <f t="shared" si="9"/>
        <v/>
      </c>
      <c r="J21" s="45" t="str">
        <f t="shared" si="2"/>
        <v/>
      </c>
      <c r="K21" s="48" t="str">
        <f t="shared" si="3"/>
        <v/>
      </c>
      <c r="L21" s="8"/>
      <c r="M21" s="20"/>
      <c r="N21" s="73" t="str">
        <f t="shared" si="1"/>
        <v/>
      </c>
      <c r="O21" s="84" t="str">
        <f t="shared" si="4"/>
        <v/>
      </c>
      <c r="P21" s="45" t="str">
        <f t="shared" si="7"/>
        <v/>
      </c>
      <c r="Q21" s="46" t="str">
        <f t="shared" si="8"/>
        <v/>
      </c>
      <c r="R21" s="47" t="str">
        <f t="shared" si="5"/>
        <v/>
      </c>
      <c r="S21" s="89"/>
      <c r="T21" s="22"/>
    </row>
    <row r="22" spans="1:20" ht="14.4" x14ac:dyDescent="0.3">
      <c r="A22" s="7">
        <v>18</v>
      </c>
      <c r="B22" s="19"/>
      <c r="C22" s="19"/>
      <c r="D22" s="20"/>
      <c r="E22" s="21"/>
      <c r="F22" s="21"/>
      <c r="G22" s="45" t="str">
        <f t="shared" si="6"/>
        <v/>
      </c>
      <c r="H22" s="46" t="str">
        <f t="shared" si="9"/>
        <v/>
      </c>
      <c r="I22" s="47" t="str">
        <f t="shared" si="9"/>
        <v/>
      </c>
      <c r="J22" s="45" t="str">
        <f t="shared" si="2"/>
        <v/>
      </c>
      <c r="K22" s="48" t="str">
        <f t="shared" si="3"/>
        <v/>
      </c>
      <c r="L22" s="8"/>
      <c r="M22" s="20"/>
      <c r="N22" s="73" t="str">
        <f t="shared" si="1"/>
        <v/>
      </c>
      <c r="O22" s="84" t="str">
        <f t="shared" si="4"/>
        <v/>
      </c>
      <c r="P22" s="45" t="str">
        <f t="shared" si="7"/>
        <v/>
      </c>
      <c r="Q22" s="46" t="str">
        <f t="shared" si="8"/>
        <v/>
      </c>
      <c r="R22" s="47" t="str">
        <f t="shared" si="5"/>
        <v/>
      </c>
      <c r="S22" s="89"/>
      <c r="T22" s="22"/>
    </row>
    <row r="23" spans="1:20" ht="14.4" x14ac:dyDescent="0.3">
      <c r="A23" s="7">
        <v>19</v>
      </c>
      <c r="B23" s="19"/>
      <c r="C23" s="19"/>
      <c r="D23" s="20"/>
      <c r="E23" s="21"/>
      <c r="F23" s="21"/>
      <c r="G23" s="45" t="str">
        <f t="shared" si="6"/>
        <v/>
      </c>
      <c r="H23" s="46" t="str">
        <f t="shared" si="9"/>
        <v/>
      </c>
      <c r="I23" s="47" t="str">
        <f t="shared" si="9"/>
        <v/>
      </c>
      <c r="J23" s="45" t="str">
        <f t="shared" si="2"/>
        <v/>
      </c>
      <c r="K23" s="48" t="str">
        <f t="shared" si="3"/>
        <v/>
      </c>
      <c r="L23" s="8"/>
      <c r="M23" s="20"/>
      <c r="N23" s="73" t="str">
        <f t="shared" si="1"/>
        <v/>
      </c>
      <c r="O23" s="84" t="str">
        <f t="shared" si="4"/>
        <v/>
      </c>
      <c r="P23" s="45" t="str">
        <f t="shared" si="7"/>
        <v/>
      </c>
      <c r="Q23" s="46" t="str">
        <f t="shared" si="8"/>
        <v/>
      </c>
      <c r="R23" s="47" t="str">
        <f t="shared" si="5"/>
        <v/>
      </c>
      <c r="S23" s="89"/>
      <c r="T23" s="22"/>
    </row>
    <row r="24" spans="1:20" ht="15" thickBot="1" x14ac:dyDescent="0.35">
      <c r="A24" s="10">
        <v>20</v>
      </c>
      <c r="B24" s="34"/>
      <c r="C24" s="34"/>
      <c r="D24" s="14"/>
      <c r="E24" s="35"/>
      <c r="F24" s="35"/>
      <c r="G24" s="53" t="str">
        <f t="shared" si="6"/>
        <v/>
      </c>
      <c r="H24" s="54" t="str">
        <f t="shared" si="9"/>
        <v/>
      </c>
      <c r="I24" s="55" t="str">
        <f t="shared" si="9"/>
        <v/>
      </c>
      <c r="J24" s="53" t="str">
        <f t="shared" si="2"/>
        <v/>
      </c>
      <c r="K24" s="56" t="str">
        <f t="shared" si="3"/>
        <v/>
      </c>
      <c r="L24" s="11"/>
      <c r="M24" s="14"/>
      <c r="N24" s="76" t="str">
        <f t="shared" si="1"/>
        <v/>
      </c>
      <c r="O24" s="86" t="str">
        <f t="shared" si="4"/>
        <v/>
      </c>
      <c r="P24" s="49" t="str">
        <f t="shared" si="7"/>
        <v/>
      </c>
      <c r="Q24" s="50" t="str">
        <f t="shared" si="8"/>
        <v/>
      </c>
      <c r="R24" s="51" t="str">
        <f t="shared" si="5"/>
        <v/>
      </c>
      <c r="S24" s="92"/>
      <c r="T24" s="36"/>
    </row>
    <row r="25" spans="1:20" ht="14.4" x14ac:dyDescent="0.3">
      <c r="A25" s="4">
        <v>21</v>
      </c>
      <c r="B25" s="15"/>
      <c r="C25" s="15"/>
      <c r="D25" s="16"/>
      <c r="E25" s="37"/>
      <c r="F25" s="37"/>
      <c r="G25" s="57" t="str">
        <f t="shared" si="6"/>
        <v/>
      </c>
      <c r="H25" s="58" t="str">
        <f t="shared" si="9"/>
        <v/>
      </c>
      <c r="I25" s="59" t="str">
        <f t="shared" si="9"/>
        <v/>
      </c>
      <c r="J25" s="57" t="str">
        <f t="shared" si="2"/>
        <v/>
      </c>
      <c r="K25" s="60" t="str">
        <f t="shared" si="3"/>
        <v/>
      </c>
      <c r="L25" s="5"/>
      <c r="M25" s="16"/>
      <c r="N25" s="72" t="str">
        <f t="shared" si="1"/>
        <v/>
      </c>
      <c r="O25" s="87" t="str">
        <f t="shared" si="4"/>
        <v/>
      </c>
      <c r="P25" s="41" t="str">
        <f t="shared" si="7"/>
        <v/>
      </c>
      <c r="Q25" s="42" t="str">
        <f t="shared" si="8"/>
        <v/>
      </c>
      <c r="R25" s="43" t="str">
        <f t="shared" si="5"/>
        <v/>
      </c>
      <c r="S25" s="88"/>
      <c r="T25" s="18"/>
    </row>
    <row r="26" spans="1:20" ht="14.4" x14ac:dyDescent="0.3">
      <c r="A26" s="7">
        <v>22</v>
      </c>
      <c r="B26" s="19"/>
      <c r="C26" s="19"/>
      <c r="D26" s="20"/>
      <c r="E26" s="21"/>
      <c r="F26" s="21"/>
      <c r="G26" s="45" t="str">
        <f t="shared" si="6"/>
        <v/>
      </c>
      <c r="H26" s="46" t="str">
        <f t="shared" si="9"/>
        <v/>
      </c>
      <c r="I26" s="47" t="str">
        <f t="shared" si="9"/>
        <v/>
      </c>
      <c r="J26" s="45" t="str">
        <f t="shared" si="2"/>
        <v/>
      </c>
      <c r="K26" s="48" t="str">
        <f t="shared" si="3"/>
        <v/>
      </c>
      <c r="L26" s="8"/>
      <c r="M26" s="20"/>
      <c r="N26" s="73" t="str">
        <f t="shared" si="1"/>
        <v/>
      </c>
      <c r="O26" s="84" t="str">
        <f t="shared" si="4"/>
        <v/>
      </c>
      <c r="P26" s="45" t="str">
        <f t="shared" si="7"/>
        <v/>
      </c>
      <c r="Q26" s="46" t="str">
        <f t="shared" si="8"/>
        <v/>
      </c>
      <c r="R26" s="47" t="str">
        <f t="shared" si="5"/>
        <v/>
      </c>
      <c r="S26" s="89"/>
      <c r="T26" s="22"/>
    </row>
    <row r="27" spans="1:20" ht="15" thickBot="1" x14ac:dyDescent="0.35">
      <c r="A27" s="23">
        <v>23</v>
      </c>
      <c r="B27" s="24"/>
      <c r="C27" s="24"/>
      <c r="D27" s="25"/>
      <c r="E27" s="35"/>
      <c r="F27" s="35"/>
      <c r="G27" s="53" t="str">
        <f t="shared" si="6"/>
        <v/>
      </c>
      <c r="H27" s="54" t="str">
        <f t="shared" si="9"/>
        <v/>
      </c>
      <c r="I27" s="55" t="str">
        <f t="shared" si="9"/>
        <v/>
      </c>
      <c r="J27" s="53" t="str">
        <f t="shared" si="2"/>
        <v/>
      </c>
      <c r="K27" s="56" t="str">
        <f t="shared" si="3"/>
        <v/>
      </c>
      <c r="L27" s="27"/>
      <c r="M27" s="25"/>
      <c r="N27" s="74" t="str">
        <f t="shared" si="1"/>
        <v/>
      </c>
      <c r="O27" s="86" t="str">
        <f t="shared" si="4"/>
        <v/>
      </c>
      <c r="P27" s="53" t="str">
        <f t="shared" si="7"/>
        <v/>
      </c>
      <c r="Q27" s="54" t="str">
        <f t="shared" si="8"/>
        <v/>
      </c>
      <c r="R27" s="55" t="str">
        <f t="shared" si="5"/>
        <v/>
      </c>
      <c r="S27" s="90"/>
      <c r="T27" s="28"/>
    </row>
    <row r="28" spans="1:20" ht="22.5" customHeight="1" thickBot="1" x14ac:dyDescent="0.3">
      <c r="A28" s="187" t="s">
        <v>32</v>
      </c>
      <c r="B28" s="187"/>
      <c r="C28" s="187"/>
      <c r="E28" s="186" t="s">
        <v>33</v>
      </c>
      <c r="F28" s="99" t="s">
        <v>34</v>
      </c>
      <c r="G28" s="102" t="str">
        <f>IF(SUM(G5:G27)=0,"",SUM(G5:G27))</f>
        <v/>
      </c>
      <c r="H28" s="103" t="str">
        <f>IF(SUM(H5:H27)=0,"",SUM(H5:H27))</f>
        <v/>
      </c>
      <c r="I28" s="104" t="str">
        <f>IF(SUM(I5:I27)=0,"",SUM(I5:I27))</f>
        <v/>
      </c>
      <c r="J28" s="105" t="str">
        <f>IF(SUM(J5:J27)=0,"",SUM(J5:J27))</f>
        <v/>
      </c>
      <c r="K28" s="104" t="str">
        <f>IF(SUM(K5:K27)=0,"",SUM(K5:K27))</f>
        <v/>
      </c>
      <c r="N28" s="106" t="str">
        <f>IF(SUM(N5:N27)=0,"",SUM(N5:N27))</f>
        <v/>
      </c>
      <c r="P28" s="102" t="str">
        <f>IF(SUM(P5:P27)=0,"",SUM(P5:P27))</f>
        <v/>
      </c>
      <c r="Q28" s="103" t="str">
        <f>IF(SUM(Q5:Q27)=0,"",SUM(Q5:Q27))</f>
        <v/>
      </c>
      <c r="R28" s="104" t="str">
        <f>IF(SUM(R5:R27)=0,"",SUM(R5:R27))</f>
        <v/>
      </c>
    </row>
    <row r="29" spans="1:20" ht="22.5" customHeight="1" thickBot="1" x14ac:dyDescent="0.3">
      <c r="A29" s="187"/>
      <c r="B29" s="187"/>
      <c r="C29" s="187"/>
      <c r="E29" s="186"/>
      <c r="F29" s="107" t="s">
        <v>35</v>
      </c>
      <c r="G29" s="135" t="str">
        <f>IF(COUNTBLANK(G5:G27)=23,"",23-COUNTBLANK(G5:G27))</f>
        <v/>
      </c>
      <c r="H29" s="131" t="str">
        <f>IF(COUNTBLANK(H5:H27)=23,"",23-COUNTBLANK(H5:H27))</f>
        <v/>
      </c>
      <c r="I29" s="132" t="str">
        <f>IF(COUNTBLANK(I5:I27)=23,"",23-COUNTBLANK(I5:I27))</f>
        <v/>
      </c>
      <c r="J29" s="133" t="str">
        <f>IF(COUNTBLANK(J5:J27)=23,"",23-COUNTBLANK(J5:J27))</f>
        <v/>
      </c>
      <c r="K29" s="132" t="str">
        <f>IF(COUNTBLANK(K5:K27)=23,"",23-COUNTBLANK(K5:K27))</f>
        <v/>
      </c>
      <c r="L29" s="134"/>
      <c r="M29" s="134"/>
      <c r="N29" s="136" t="str">
        <f>IF(COUNTBLANK(N5:N27)=23,"",23-COUNTBLANK(N5:N27))</f>
        <v/>
      </c>
      <c r="O29" s="134"/>
      <c r="P29" s="135" t="str">
        <f>IF(COUNTBLANK(P5:P27)=23,"",23-COUNTBLANK(P5:P27))</f>
        <v/>
      </c>
      <c r="Q29" s="131" t="str">
        <f>IF(COUNTBLANK(Q5:Q27)=23,"",23-COUNTBLANK(Q5:Q27))</f>
        <v/>
      </c>
      <c r="R29" s="132" t="str">
        <f>IF(COUNTBLANK(R5:R27)=23,"",23-COUNTBLANK(R5:R27))</f>
        <v/>
      </c>
    </row>
    <row r="30" spans="1:20" x14ac:dyDescent="0.25">
      <c r="A30" s="187"/>
      <c r="B30" s="187"/>
      <c r="C30" s="187"/>
    </row>
    <row r="31" spans="1:20" x14ac:dyDescent="0.25">
      <c r="A31" s="187"/>
      <c r="B31" s="187"/>
      <c r="C31" s="187"/>
    </row>
    <row r="32" spans="1:20" x14ac:dyDescent="0.25">
      <c r="A32" s="187"/>
      <c r="B32" s="187"/>
      <c r="C32" s="187"/>
    </row>
    <row r="33" spans="1:20" x14ac:dyDescent="0.25">
      <c r="A33" s="38"/>
      <c r="B33" s="38"/>
      <c r="C33" s="38"/>
    </row>
    <row r="34" spans="1:20" ht="14.1" customHeight="1" thickBot="1" x14ac:dyDescent="0.3">
      <c r="C34" s="2" t="s">
        <v>2</v>
      </c>
      <c r="D34" s="190" t="s">
        <v>3</v>
      </c>
      <c r="E34" s="190"/>
      <c r="F34" s="139">
        <f>$F1</f>
        <v>0</v>
      </c>
      <c r="G34" s="3"/>
      <c r="H34" s="199" t="s">
        <v>4</v>
      </c>
      <c r="I34" s="199"/>
      <c r="J34" s="199"/>
      <c r="K34" s="199"/>
      <c r="L34" s="139" t="str">
        <f>$L1</f>
        <v/>
      </c>
      <c r="N34" s="193">
        <f>$O1</f>
        <v>0</v>
      </c>
      <c r="O34" s="193"/>
      <c r="P34" s="193"/>
      <c r="Q34" s="93"/>
    </row>
    <row r="35" spans="1:20" ht="14.25" customHeight="1" thickBot="1" x14ac:dyDescent="0.3">
      <c r="A35" s="169" t="s">
        <v>6</v>
      </c>
      <c r="B35" s="110"/>
      <c r="C35" s="113"/>
      <c r="D35" s="115"/>
      <c r="E35" s="119"/>
      <c r="F35" s="119"/>
      <c r="G35" s="195" t="s">
        <v>7</v>
      </c>
      <c r="H35" s="196"/>
      <c r="I35" s="197"/>
      <c r="J35" s="198" t="s">
        <v>8</v>
      </c>
      <c r="K35" s="180"/>
      <c r="L35" s="175" t="s">
        <v>9</v>
      </c>
      <c r="M35" s="176"/>
      <c r="N35" s="172" t="s">
        <v>10</v>
      </c>
      <c r="O35" s="188" t="s">
        <v>11</v>
      </c>
      <c r="P35" s="182" t="s">
        <v>12</v>
      </c>
      <c r="Q35" s="180"/>
      <c r="R35" s="181"/>
      <c r="S35" s="163" t="s">
        <v>13</v>
      </c>
      <c r="T35" s="166" t="s">
        <v>14</v>
      </c>
    </row>
    <row r="36" spans="1:20" x14ac:dyDescent="0.25">
      <c r="A36" s="170"/>
      <c r="B36" s="111"/>
      <c r="C36" s="114"/>
      <c r="D36" s="116"/>
      <c r="E36" s="120"/>
      <c r="F36" s="120"/>
      <c r="G36" s="7" t="s">
        <v>15</v>
      </c>
      <c r="H36" s="8" t="s">
        <v>16</v>
      </c>
      <c r="I36" s="149" t="s">
        <v>17</v>
      </c>
      <c r="J36" s="7" t="s">
        <v>18</v>
      </c>
      <c r="K36" s="8" t="s">
        <v>19</v>
      </c>
      <c r="L36" s="177"/>
      <c r="M36" s="178"/>
      <c r="N36" s="173"/>
      <c r="O36" s="189"/>
      <c r="P36" s="183"/>
      <c r="Q36" s="184"/>
      <c r="R36" s="185"/>
      <c r="S36" s="164"/>
      <c r="T36" s="167"/>
    </row>
    <row r="37" spans="1:20" ht="37.5" customHeight="1" thickBot="1" x14ac:dyDescent="0.3">
      <c r="A37" s="194"/>
      <c r="B37" s="112" t="s">
        <v>20</v>
      </c>
      <c r="C37" s="112" t="s">
        <v>21</v>
      </c>
      <c r="D37" s="117" t="s">
        <v>22</v>
      </c>
      <c r="E37" s="118" t="s">
        <v>23</v>
      </c>
      <c r="F37" s="118" t="s">
        <v>24</v>
      </c>
      <c r="G37" s="23" t="s">
        <v>25</v>
      </c>
      <c r="H37" s="27" t="s">
        <v>26</v>
      </c>
      <c r="I37" s="94" t="s">
        <v>27</v>
      </c>
      <c r="J37" s="23" t="s">
        <v>28</v>
      </c>
      <c r="K37" s="27" t="s">
        <v>29</v>
      </c>
      <c r="L37" s="95" t="s">
        <v>30</v>
      </c>
      <c r="M37" s="25" t="s">
        <v>31</v>
      </c>
      <c r="N37" s="174"/>
      <c r="O37" s="202"/>
      <c r="P37" s="10">
        <v>1</v>
      </c>
      <c r="Q37" s="11">
        <v>6</v>
      </c>
      <c r="R37" s="12">
        <v>7</v>
      </c>
      <c r="S37" s="203"/>
      <c r="T37" s="204"/>
    </row>
    <row r="38" spans="1:20" ht="27.9" customHeight="1" x14ac:dyDescent="0.25">
      <c r="E38" s="186" t="s">
        <v>36</v>
      </c>
      <c r="F38" s="39" t="s">
        <v>34</v>
      </c>
      <c r="G38" s="61" t="str">
        <f t="shared" ref="G38:K39" si="10">IF($B$40="","",G28)</f>
        <v/>
      </c>
      <c r="H38" s="62" t="str">
        <f t="shared" si="10"/>
        <v/>
      </c>
      <c r="I38" s="63" t="str">
        <f t="shared" si="10"/>
        <v/>
      </c>
      <c r="J38" s="64" t="str">
        <f t="shared" si="10"/>
        <v/>
      </c>
      <c r="K38" s="63" t="str">
        <f t="shared" si="10"/>
        <v/>
      </c>
      <c r="N38" s="77" t="str">
        <f>IF($B$40="","",N28)</f>
        <v/>
      </c>
      <c r="P38" s="69" t="str">
        <f t="shared" ref="P38:R39" si="11">IF($B$40="","",P28)</f>
        <v/>
      </c>
      <c r="Q38" s="70" t="str">
        <f t="shared" si="11"/>
        <v/>
      </c>
      <c r="R38" s="71" t="str">
        <f t="shared" si="11"/>
        <v/>
      </c>
    </row>
    <row r="39" spans="1:20" ht="27.9" customHeight="1" thickBot="1" x14ac:dyDescent="0.3">
      <c r="E39" s="186"/>
      <c r="F39" s="40" t="s">
        <v>35</v>
      </c>
      <c r="G39" s="65" t="str">
        <f t="shared" si="10"/>
        <v/>
      </c>
      <c r="H39" s="66" t="str">
        <f t="shared" si="10"/>
        <v/>
      </c>
      <c r="I39" s="67" t="str">
        <f t="shared" si="10"/>
        <v/>
      </c>
      <c r="J39" s="68" t="str">
        <f t="shared" si="10"/>
        <v/>
      </c>
      <c r="K39" s="67" t="str">
        <f t="shared" si="10"/>
        <v/>
      </c>
      <c r="N39" s="101" t="str">
        <f>IF($B$40="","",N29)</f>
        <v/>
      </c>
      <c r="P39" s="155" t="str">
        <f t="shared" si="11"/>
        <v/>
      </c>
      <c r="Q39" s="97" t="str">
        <f t="shared" si="11"/>
        <v/>
      </c>
      <c r="R39" s="98" t="str">
        <f t="shared" si="11"/>
        <v/>
      </c>
    </row>
    <row r="40" spans="1:20" ht="14.4" x14ac:dyDescent="0.3">
      <c r="A40" s="6">
        <v>24</v>
      </c>
      <c r="B40" s="78"/>
      <c r="C40" s="15"/>
      <c r="D40" s="16"/>
      <c r="E40" s="17"/>
      <c r="F40" s="17"/>
      <c r="G40" s="41" t="str">
        <f>IF($D40="","",IF($D40=G$3,$F40-$E40,""))</f>
        <v/>
      </c>
      <c r="H40" s="42" t="str">
        <f>IF($D40="","",IF($D40=H$3,$F40-$E40,""))</f>
        <v/>
      </c>
      <c r="I40" s="43" t="str">
        <f>IF($D40="","",IF($D40=I$3,$F40-$E40,""))</f>
        <v/>
      </c>
      <c r="J40" s="41" t="str">
        <f>IF($D40="","",IF($D40=CONCATENATE(J$2," ",J$3),$F40-$E40,""))</f>
        <v/>
      </c>
      <c r="K40" s="43" t="str">
        <f>IF($D40="","",IF($D40=CONCATENATE(J$2," ",K$3),$F40-$E40,""))</f>
        <v/>
      </c>
      <c r="L40" s="151"/>
      <c r="M40" s="16"/>
      <c r="N40" s="72" t="str">
        <f t="shared" ref="N40:N51" si="12">IF($D40="","",IF($D40="PAX",$F40-$E40,""))</f>
        <v/>
      </c>
      <c r="O40" s="83" t="str">
        <f>IF(ISBLANK(F40), "", IF(F40-E40 &gt; TIME(0,9,30), 6, 1))</f>
        <v/>
      </c>
      <c r="P40" s="41" t="str">
        <f>IF($O40=P$4,F40-E40,"")</f>
        <v/>
      </c>
      <c r="Q40" s="42" t="str">
        <f>IF($O40=6,F40-E40,"")</f>
        <v/>
      </c>
      <c r="R40" s="43" t="str">
        <f>IF($O40=R$4,F40-E40,"")</f>
        <v/>
      </c>
      <c r="S40" s="88"/>
      <c r="T40" s="18"/>
    </row>
    <row r="41" spans="1:20" ht="14.4" x14ac:dyDescent="0.3">
      <c r="A41" s="9">
        <v>25</v>
      </c>
      <c r="B41" s="79"/>
      <c r="C41" s="19"/>
      <c r="D41" s="20"/>
      <c r="E41" s="21"/>
      <c r="F41" s="21"/>
      <c r="G41" s="45" t="str">
        <f t="shared" ref="G41:G51" si="13">IF($D41="","",IF($D41=G$3,$F41-$E41,""))</f>
        <v/>
      </c>
      <c r="H41" s="46" t="str">
        <f t="shared" ref="H41:I51" si="14">IF($D41="","",IF($D41=H$3,$F41-$E41,""))</f>
        <v/>
      </c>
      <c r="I41" s="47" t="str">
        <f t="shared" si="14"/>
        <v/>
      </c>
      <c r="J41" s="45" t="str">
        <f t="shared" ref="J41:J51" si="15">IF($D41="","",IF($D41=CONCATENATE(J$2," ",J$3),$F41-$E41,""))</f>
        <v/>
      </c>
      <c r="K41" s="47" t="str">
        <f t="shared" ref="K41:K51" si="16">IF($D41="","",IF($D41=CONCATENATE(J$2," ",K$3),$F41-$E41,""))</f>
        <v/>
      </c>
      <c r="L41" s="153"/>
      <c r="M41" s="20"/>
      <c r="N41" s="73" t="str">
        <f>IF($D41="","",IF($D41="PAX",$F41-$E41,""))</f>
        <v/>
      </c>
      <c r="O41" s="84" t="str">
        <f t="shared" ref="O41:O51" si="17">IF(ISBLANK(F41), "", IF(F41-E41 &gt; TIME(0,9,30), 6, 1))</f>
        <v/>
      </c>
      <c r="P41" s="45" t="str">
        <f t="shared" ref="P41:P51" si="18">IF($O41=P$4,F41-E41,"")</f>
        <v/>
      </c>
      <c r="Q41" s="46" t="str">
        <f t="shared" ref="Q41:Q51" si="19">IF($O41=6,F41-E41,"")</f>
        <v/>
      </c>
      <c r="R41" s="47" t="str">
        <f t="shared" ref="R41:R51" si="20">IF($O41=R$4,F41-E41,"")</f>
        <v/>
      </c>
      <c r="S41" s="89"/>
      <c r="T41" s="22"/>
    </row>
    <row r="42" spans="1:20" ht="14.4" x14ac:dyDescent="0.3">
      <c r="A42" s="9">
        <v>26</v>
      </c>
      <c r="B42" s="79"/>
      <c r="C42" s="19"/>
      <c r="D42" s="20"/>
      <c r="E42" s="21"/>
      <c r="F42" s="21"/>
      <c r="G42" s="45" t="str">
        <f t="shared" si="13"/>
        <v/>
      </c>
      <c r="H42" s="46" t="str">
        <f t="shared" si="14"/>
        <v/>
      </c>
      <c r="I42" s="47" t="str">
        <f t="shared" si="14"/>
        <v/>
      </c>
      <c r="J42" s="45" t="str">
        <f t="shared" si="15"/>
        <v/>
      </c>
      <c r="K42" s="47" t="str">
        <f t="shared" si="16"/>
        <v/>
      </c>
      <c r="L42" s="153"/>
      <c r="M42" s="20"/>
      <c r="N42" s="73" t="str">
        <f t="shared" si="12"/>
        <v/>
      </c>
      <c r="O42" s="84" t="str">
        <f t="shared" si="17"/>
        <v/>
      </c>
      <c r="P42" s="45" t="str">
        <f t="shared" si="18"/>
        <v/>
      </c>
      <c r="Q42" s="46" t="str">
        <f t="shared" si="19"/>
        <v/>
      </c>
      <c r="R42" s="47" t="str">
        <f t="shared" si="20"/>
        <v/>
      </c>
      <c r="S42" s="89"/>
      <c r="T42" s="22"/>
    </row>
    <row r="43" spans="1:20" ht="14.4" x14ac:dyDescent="0.3">
      <c r="A43" s="9">
        <v>27</v>
      </c>
      <c r="B43" s="79"/>
      <c r="C43" s="19"/>
      <c r="D43" s="20"/>
      <c r="E43" s="21"/>
      <c r="F43" s="21"/>
      <c r="G43" s="45" t="str">
        <f t="shared" si="13"/>
        <v/>
      </c>
      <c r="H43" s="46" t="str">
        <f t="shared" si="14"/>
        <v/>
      </c>
      <c r="I43" s="47" t="str">
        <f t="shared" si="14"/>
        <v/>
      </c>
      <c r="J43" s="45" t="str">
        <f t="shared" si="15"/>
        <v/>
      </c>
      <c r="K43" s="47" t="str">
        <f t="shared" si="16"/>
        <v/>
      </c>
      <c r="L43" s="153"/>
      <c r="M43" s="20"/>
      <c r="N43" s="73" t="str">
        <f t="shared" si="12"/>
        <v/>
      </c>
      <c r="O43" s="84" t="str">
        <f t="shared" si="17"/>
        <v/>
      </c>
      <c r="P43" s="45" t="str">
        <f t="shared" si="18"/>
        <v/>
      </c>
      <c r="Q43" s="46" t="str">
        <f t="shared" si="19"/>
        <v/>
      </c>
      <c r="R43" s="47" t="str">
        <f t="shared" si="20"/>
        <v/>
      </c>
      <c r="S43" s="89"/>
      <c r="T43" s="22"/>
    </row>
    <row r="44" spans="1:20" ht="15" thickBot="1" x14ac:dyDescent="0.35">
      <c r="A44" s="96">
        <v>28</v>
      </c>
      <c r="B44" s="80"/>
      <c r="C44" s="24"/>
      <c r="D44" s="25"/>
      <c r="E44" s="26"/>
      <c r="F44" s="26"/>
      <c r="G44" s="49" t="str">
        <f t="shared" si="13"/>
        <v/>
      </c>
      <c r="H44" s="50" t="str">
        <f t="shared" si="14"/>
        <v/>
      </c>
      <c r="I44" s="51" t="str">
        <f t="shared" si="14"/>
        <v/>
      </c>
      <c r="J44" s="49" t="str">
        <f t="shared" si="15"/>
        <v/>
      </c>
      <c r="K44" s="51" t="str">
        <f t="shared" si="16"/>
        <v/>
      </c>
      <c r="L44" s="95"/>
      <c r="M44" s="25"/>
      <c r="N44" s="74" t="str">
        <f t="shared" si="12"/>
        <v/>
      </c>
      <c r="O44" s="85" t="str">
        <f t="shared" si="17"/>
        <v/>
      </c>
      <c r="P44" s="53" t="str">
        <f t="shared" si="18"/>
        <v/>
      </c>
      <c r="Q44" s="54" t="str">
        <f t="shared" si="19"/>
        <v/>
      </c>
      <c r="R44" s="55" t="str">
        <f t="shared" si="20"/>
        <v/>
      </c>
      <c r="S44" s="90"/>
      <c r="T44" s="28"/>
    </row>
    <row r="45" spans="1:20" ht="14.4" x14ac:dyDescent="0.3">
      <c r="A45" s="6">
        <v>29</v>
      </c>
      <c r="B45" s="81"/>
      <c r="C45" s="30"/>
      <c r="D45" s="31"/>
      <c r="E45" s="17"/>
      <c r="F45" s="17"/>
      <c r="G45" s="41" t="str">
        <f t="shared" si="13"/>
        <v/>
      </c>
      <c r="H45" s="42" t="str">
        <f t="shared" si="14"/>
        <v/>
      </c>
      <c r="I45" s="43" t="str">
        <f t="shared" si="14"/>
        <v/>
      </c>
      <c r="J45" s="41" t="str">
        <f t="shared" si="15"/>
        <v/>
      </c>
      <c r="K45" s="43" t="str">
        <f t="shared" si="16"/>
        <v/>
      </c>
      <c r="L45" s="154"/>
      <c r="M45" s="31"/>
      <c r="N45" s="75" t="str">
        <f t="shared" si="12"/>
        <v/>
      </c>
      <c r="O45" s="83" t="str">
        <f t="shared" si="17"/>
        <v/>
      </c>
      <c r="P45" s="57" t="str">
        <f t="shared" si="18"/>
        <v/>
      </c>
      <c r="Q45" s="58" t="str">
        <f t="shared" si="19"/>
        <v/>
      </c>
      <c r="R45" s="59" t="str">
        <f t="shared" si="20"/>
        <v/>
      </c>
      <c r="S45" s="91"/>
      <c r="T45" s="33"/>
    </row>
    <row r="46" spans="1:20" ht="14.4" x14ac:dyDescent="0.3">
      <c r="A46" s="9">
        <v>30</v>
      </c>
      <c r="B46" s="79"/>
      <c r="C46" s="19"/>
      <c r="D46" s="20"/>
      <c r="E46" s="21"/>
      <c r="F46" s="21"/>
      <c r="G46" s="45" t="str">
        <f t="shared" si="13"/>
        <v/>
      </c>
      <c r="H46" s="46" t="str">
        <f t="shared" si="14"/>
        <v/>
      </c>
      <c r="I46" s="47" t="str">
        <f t="shared" si="14"/>
        <v/>
      </c>
      <c r="J46" s="45" t="str">
        <f t="shared" si="15"/>
        <v/>
      </c>
      <c r="K46" s="47" t="str">
        <f t="shared" si="16"/>
        <v/>
      </c>
      <c r="L46" s="153"/>
      <c r="M46" s="20"/>
      <c r="N46" s="73" t="str">
        <f t="shared" si="12"/>
        <v/>
      </c>
      <c r="O46" s="84" t="str">
        <f t="shared" si="17"/>
        <v/>
      </c>
      <c r="P46" s="45" t="str">
        <f t="shared" si="18"/>
        <v/>
      </c>
      <c r="Q46" s="46" t="str">
        <f t="shared" si="19"/>
        <v/>
      </c>
      <c r="R46" s="47" t="str">
        <f t="shared" si="20"/>
        <v/>
      </c>
      <c r="S46" s="89"/>
      <c r="T46" s="22"/>
    </row>
    <row r="47" spans="1:20" ht="14.4" x14ac:dyDescent="0.3">
      <c r="A47" s="9">
        <v>31</v>
      </c>
      <c r="B47" s="79"/>
      <c r="C47" s="19"/>
      <c r="D47" s="20"/>
      <c r="E47" s="21"/>
      <c r="F47" s="21"/>
      <c r="G47" s="45" t="str">
        <f t="shared" si="13"/>
        <v/>
      </c>
      <c r="H47" s="46" t="str">
        <f t="shared" si="14"/>
        <v/>
      </c>
      <c r="I47" s="47" t="str">
        <f t="shared" si="14"/>
        <v/>
      </c>
      <c r="J47" s="45" t="str">
        <f t="shared" si="15"/>
        <v/>
      </c>
      <c r="K47" s="47" t="str">
        <f t="shared" si="16"/>
        <v/>
      </c>
      <c r="L47" s="153"/>
      <c r="M47" s="20"/>
      <c r="N47" s="73" t="str">
        <f t="shared" si="12"/>
        <v/>
      </c>
      <c r="O47" s="84" t="str">
        <f t="shared" si="17"/>
        <v/>
      </c>
      <c r="P47" s="45" t="str">
        <f t="shared" si="18"/>
        <v/>
      </c>
      <c r="Q47" s="46" t="str">
        <f t="shared" si="19"/>
        <v/>
      </c>
      <c r="R47" s="47" t="str">
        <f t="shared" si="20"/>
        <v/>
      </c>
      <c r="S47" s="89"/>
      <c r="T47" s="22"/>
    </row>
    <row r="48" spans="1:20" ht="14.4" x14ac:dyDescent="0.3">
      <c r="A48" s="9">
        <v>32</v>
      </c>
      <c r="B48" s="79"/>
      <c r="C48" s="19"/>
      <c r="D48" s="20"/>
      <c r="E48" s="21"/>
      <c r="F48" s="21"/>
      <c r="G48" s="45" t="str">
        <f t="shared" si="13"/>
        <v/>
      </c>
      <c r="H48" s="46" t="str">
        <f t="shared" si="14"/>
        <v/>
      </c>
      <c r="I48" s="47" t="str">
        <f t="shared" si="14"/>
        <v/>
      </c>
      <c r="J48" s="45" t="str">
        <f t="shared" si="15"/>
        <v/>
      </c>
      <c r="K48" s="47" t="str">
        <f t="shared" si="16"/>
        <v/>
      </c>
      <c r="L48" s="153"/>
      <c r="M48" s="20"/>
      <c r="N48" s="73" t="str">
        <f t="shared" si="12"/>
        <v/>
      </c>
      <c r="O48" s="84" t="str">
        <f t="shared" si="17"/>
        <v/>
      </c>
      <c r="P48" s="45" t="str">
        <f t="shared" si="18"/>
        <v/>
      </c>
      <c r="Q48" s="46" t="str">
        <f t="shared" si="19"/>
        <v/>
      </c>
      <c r="R48" s="47" t="str">
        <f t="shared" si="20"/>
        <v/>
      </c>
      <c r="S48" s="89"/>
      <c r="T48" s="22"/>
    </row>
    <row r="49" spans="1:20" ht="15" thickBot="1" x14ac:dyDescent="0.35">
      <c r="A49" s="96">
        <v>33</v>
      </c>
      <c r="B49" s="82"/>
      <c r="C49" s="34"/>
      <c r="D49" s="14"/>
      <c r="E49" s="35"/>
      <c r="F49" s="35"/>
      <c r="G49" s="53" t="str">
        <f t="shared" si="13"/>
        <v/>
      </c>
      <c r="H49" s="54" t="str">
        <f t="shared" si="14"/>
        <v/>
      </c>
      <c r="I49" s="55" t="str">
        <f t="shared" si="14"/>
        <v/>
      </c>
      <c r="J49" s="53" t="str">
        <f t="shared" si="15"/>
        <v/>
      </c>
      <c r="K49" s="55" t="str">
        <f t="shared" si="16"/>
        <v/>
      </c>
      <c r="L49" s="13"/>
      <c r="M49" s="14"/>
      <c r="N49" s="76" t="str">
        <f t="shared" si="12"/>
        <v/>
      </c>
      <c r="O49" s="86" t="str">
        <f t="shared" si="17"/>
        <v/>
      </c>
      <c r="P49" s="49" t="str">
        <f t="shared" si="18"/>
        <v/>
      </c>
      <c r="Q49" s="50" t="str">
        <f t="shared" si="19"/>
        <v/>
      </c>
      <c r="R49" s="51" t="str">
        <f t="shared" si="20"/>
        <v/>
      </c>
      <c r="S49" s="92"/>
      <c r="T49" s="36"/>
    </row>
    <row r="50" spans="1:20" ht="14.4" x14ac:dyDescent="0.3">
      <c r="A50" s="6">
        <v>34</v>
      </c>
      <c r="B50" s="78"/>
      <c r="C50" s="15"/>
      <c r="D50" s="16"/>
      <c r="E50" s="37"/>
      <c r="F50" s="37"/>
      <c r="G50" s="57" t="str">
        <f t="shared" si="13"/>
        <v/>
      </c>
      <c r="H50" s="58" t="str">
        <f t="shared" si="14"/>
        <v/>
      </c>
      <c r="I50" s="59" t="str">
        <f t="shared" si="14"/>
        <v/>
      </c>
      <c r="J50" s="57" t="str">
        <f t="shared" si="15"/>
        <v/>
      </c>
      <c r="K50" s="59" t="str">
        <f t="shared" si="16"/>
        <v/>
      </c>
      <c r="L50" s="151"/>
      <c r="M50" s="16"/>
      <c r="N50" s="72" t="str">
        <f t="shared" si="12"/>
        <v/>
      </c>
      <c r="O50" s="87" t="str">
        <f t="shared" si="17"/>
        <v/>
      </c>
      <c r="P50" s="41" t="str">
        <f t="shared" si="18"/>
        <v/>
      </c>
      <c r="Q50" s="42" t="str">
        <f t="shared" si="19"/>
        <v/>
      </c>
      <c r="R50" s="43" t="str">
        <f t="shared" si="20"/>
        <v/>
      </c>
      <c r="S50" s="88"/>
      <c r="T50" s="18"/>
    </row>
    <row r="51" spans="1:20" ht="15" thickBot="1" x14ac:dyDescent="0.35">
      <c r="A51" s="96">
        <v>35</v>
      </c>
      <c r="B51" s="80"/>
      <c r="C51" s="24"/>
      <c r="D51" s="25"/>
      <c r="E51" s="35"/>
      <c r="F51" s="35"/>
      <c r="G51" s="53" t="str">
        <f t="shared" si="13"/>
        <v/>
      </c>
      <c r="H51" s="54" t="str">
        <f t="shared" si="14"/>
        <v/>
      </c>
      <c r="I51" s="55" t="str">
        <f t="shared" si="14"/>
        <v/>
      </c>
      <c r="J51" s="53" t="str">
        <f t="shared" si="15"/>
        <v/>
      </c>
      <c r="K51" s="55" t="str">
        <f t="shared" si="16"/>
        <v/>
      </c>
      <c r="L51" s="95"/>
      <c r="M51" s="25"/>
      <c r="N51" s="74" t="str">
        <f t="shared" si="12"/>
        <v/>
      </c>
      <c r="O51" s="86" t="str">
        <f t="shared" si="17"/>
        <v/>
      </c>
      <c r="P51" s="53" t="str">
        <f t="shared" si="18"/>
        <v/>
      </c>
      <c r="Q51" s="54" t="str">
        <f t="shared" si="19"/>
        <v/>
      </c>
      <c r="R51" s="55" t="str">
        <f t="shared" si="20"/>
        <v/>
      </c>
      <c r="S51" s="90"/>
      <c r="T51" s="28"/>
    </row>
    <row r="52" spans="1:20" ht="27.9" customHeight="1" thickBot="1" x14ac:dyDescent="0.3">
      <c r="E52" s="205" t="s">
        <v>37</v>
      </c>
      <c r="F52" s="206"/>
      <c r="G52" s="102" t="str">
        <f>IF(G28="","",G28+SUM(G40:G51))</f>
        <v/>
      </c>
      <c r="H52" s="103" t="str">
        <f>IF(H28="","",H28+SUM(H40:H51))</f>
        <v/>
      </c>
      <c r="I52" s="104" t="str">
        <f>IF(I28="","",I28+SUM(I40:I51))</f>
        <v/>
      </c>
      <c r="J52" s="105" t="str">
        <f>IF(J28="","",J28+SUM(J40:J51))</f>
        <v/>
      </c>
      <c r="K52" s="104" t="str">
        <f>IF(K28="","",K28+SUM(K40:K51))</f>
        <v/>
      </c>
      <c r="N52" s="106" t="str">
        <f>IF(AND(N28="",COUNTBLANK(N40:N51)=12)=TRUE,"",SUM(N5:N27)+SUM(N40:N51))</f>
        <v/>
      </c>
      <c r="P52" s="102" t="str">
        <f>IF(P28="","",P28+SUM(P40:P51))</f>
        <v/>
      </c>
      <c r="Q52" s="103" t="str">
        <f>IF(Q28="","",Q28+SUM(Q40:Q51))</f>
        <v/>
      </c>
      <c r="R52" s="104" t="str">
        <f>IF(R28="","",R28+SUM(R40:R51))</f>
        <v/>
      </c>
    </row>
    <row r="53" spans="1:20" ht="27.9" customHeight="1" thickBot="1" x14ac:dyDescent="0.3">
      <c r="E53" s="200" t="s">
        <v>38</v>
      </c>
      <c r="F53" s="201"/>
      <c r="G53" s="100" t="str">
        <f>IF(G29="","",12-COUNTBLANK(G40:G51)+G29)</f>
        <v/>
      </c>
      <c r="H53" s="131" t="str">
        <f>IF(H29="","",12-COUNTBLANK(H40:H51)+H29)</f>
        <v/>
      </c>
      <c r="I53" s="132" t="str">
        <f>IF(I29="","",12-COUNTBLANK(I40:I51)+I29)</f>
        <v/>
      </c>
      <c r="J53" s="133" t="str">
        <f>IF(J29="","",12-COUNTBLANK(J40:J51)+J29)</f>
        <v/>
      </c>
      <c r="K53" s="132" t="str">
        <f>IF(K29="","",12-COUNTBLANK(K40:K51)+K29)</f>
        <v/>
      </c>
      <c r="L53" s="134"/>
      <c r="M53" s="134"/>
      <c r="N53" s="136" t="str">
        <f>IF(AND(N29="",COUNTBLANK(N40:N51)=12)=TRUE,"",35-COUNTBLANK(N5:N27)-COUNTBLANK(N40:N51))</f>
        <v/>
      </c>
      <c r="P53" s="152" t="str">
        <f>IF(P29="","",12-COUNTBLANK(P40:P51)+P29)</f>
        <v/>
      </c>
      <c r="Q53" s="157" t="str">
        <f>IF(Q29="","",12-COUNTBLANK(Q40:Q51)+Q29)</f>
        <v/>
      </c>
      <c r="R53" s="158" t="str">
        <f>IF(R29="","",12-COUNTBLANK(R40:R51)+R29)</f>
        <v/>
      </c>
    </row>
    <row r="54" spans="1:20" ht="14.4" thickBot="1" x14ac:dyDescent="0.3"/>
    <row r="55" spans="1:20" ht="14.1" customHeight="1" x14ac:dyDescent="0.25">
      <c r="E55" s="207" t="s">
        <v>39</v>
      </c>
      <c r="F55" s="208"/>
      <c r="G55" s="208"/>
      <c r="H55" s="209"/>
      <c r="I55" s="210">
        <f>SUM(P52:R52)</f>
        <v>0</v>
      </c>
      <c r="J55" s="211"/>
      <c r="K55" s="207" t="s">
        <v>40</v>
      </c>
      <c r="L55" s="208"/>
      <c r="M55" s="208"/>
      <c r="N55" s="208"/>
      <c r="O55" s="208"/>
      <c r="P55" s="208"/>
      <c r="Q55" s="217"/>
      <c r="R55" s="219">
        <f>SUM(P53:R53)</f>
        <v>0</v>
      </c>
      <c r="S55" s="220"/>
    </row>
    <row r="56" spans="1:20" x14ac:dyDescent="0.25">
      <c r="E56" s="212" t="s">
        <v>41</v>
      </c>
      <c r="F56" s="213"/>
      <c r="G56" s="213"/>
      <c r="H56" s="214"/>
      <c r="I56" s="215"/>
      <c r="J56" s="216"/>
      <c r="K56" s="212" t="s">
        <v>42</v>
      </c>
      <c r="L56" s="213"/>
      <c r="M56" s="213"/>
      <c r="N56" s="213"/>
      <c r="O56" s="213"/>
      <c r="P56" s="213"/>
      <c r="Q56" s="218"/>
      <c r="R56" s="221"/>
      <c r="S56" s="222"/>
    </row>
    <row r="57" spans="1:20" x14ac:dyDescent="0.25">
      <c r="E57" s="207" t="s">
        <v>43</v>
      </c>
      <c r="F57" s="208"/>
      <c r="G57" s="208"/>
      <c r="H57" s="209"/>
      <c r="I57" s="210">
        <f>I55+I56</f>
        <v>0</v>
      </c>
      <c r="J57" s="211"/>
      <c r="K57" s="207" t="s">
        <v>44</v>
      </c>
      <c r="L57" s="208"/>
      <c r="M57" s="208"/>
      <c r="N57" s="208"/>
      <c r="O57" s="208"/>
      <c r="P57" s="208"/>
      <c r="Q57" s="217"/>
      <c r="R57" s="219">
        <f>R55+R56</f>
        <v>0</v>
      </c>
      <c r="S57" s="220"/>
    </row>
  </sheetData>
  <sheetProtection algorithmName="SHA-512" hashValue="KXZStULTzh6I9+/WPw6vsSNSHhQp6ULXTP5t1nMc2rtaBhI5cF+vo6f5TeJvocGrE4XViQZxtr+uoi07mtg5UA==" saltValue="outEvGl8Qm3pzqhQc7mHfQ==" spinCount="100000" sheet="1" objects="1" scenarios="1"/>
  <mergeCells count="41">
    <mergeCell ref="K55:Q55"/>
    <mergeCell ref="K56:Q56"/>
    <mergeCell ref="K57:Q57"/>
    <mergeCell ref="R55:S55"/>
    <mergeCell ref="R56:S56"/>
    <mergeCell ref="R57:S57"/>
    <mergeCell ref="E55:H55"/>
    <mergeCell ref="I55:J55"/>
    <mergeCell ref="E56:H56"/>
    <mergeCell ref="I56:J56"/>
    <mergeCell ref="E57:H57"/>
    <mergeCell ref="I57:J57"/>
    <mergeCell ref="E53:F53"/>
    <mergeCell ref="O35:O37"/>
    <mergeCell ref="P35:R36"/>
    <mergeCell ref="S35:S37"/>
    <mergeCell ref="T35:T37"/>
    <mergeCell ref="E38:E39"/>
    <mergeCell ref="E52:F52"/>
    <mergeCell ref="D34:E34"/>
    <mergeCell ref="N34:P34"/>
    <mergeCell ref="A35:A37"/>
    <mergeCell ref="G35:I35"/>
    <mergeCell ref="J35:K35"/>
    <mergeCell ref="L35:M36"/>
    <mergeCell ref="N35:N37"/>
    <mergeCell ref="H34:K34"/>
    <mergeCell ref="E28:E29"/>
    <mergeCell ref="A28:C32"/>
    <mergeCell ref="O2:O4"/>
    <mergeCell ref="D1:E1"/>
    <mergeCell ref="H1:K1"/>
    <mergeCell ref="O1:Q1"/>
    <mergeCell ref="S2:S4"/>
    <mergeCell ref="T2:T4"/>
    <mergeCell ref="A2:A4"/>
    <mergeCell ref="N2:N4"/>
    <mergeCell ref="L2:M3"/>
    <mergeCell ref="G2:I2"/>
    <mergeCell ref="J2:K2"/>
    <mergeCell ref="P2:R3"/>
  </mergeCells>
  <dataValidations count="1">
    <dataValidation allowBlank="1" showInputMessage="1" showErrorMessage="1" sqref="L34 F34" xr:uid="{09E1E9A8-76E2-440A-9EB8-7954FFE204FF}"/>
  </dataValidation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P28:R28 Q29:R29" formulaRange="1"/>
    <ignoredError sqref="Q5 Q6:Q27 Q40:Q5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45720</xdr:colOff>
                    <xdr:row>4</xdr:row>
                    <xdr:rowOff>0</xdr:rowOff>
                  </from>
                  <to>
                    <xdr:col>18</xdr:col>
                    <xdr:colOff>236220</xdr:colOff>
                    <xdr:row>5</xdr:row>
                    <xdr:rowOff>7620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45720</xdr:colOff>
                    <xdr:row>5</xdr:row>
                    <xdr:rowOff>0</xdr:rowOff>
                  </from>
                  <to>
                    <xdr:col>18</xdr:col>
                    <xdr:colOff>236220</xdr:colOff>
                    <xdr:row>6</xdr:row>
                    <xdr:rowOff>7620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45720</xdr:colOff>
                    <xdr:row>6</xdr:row>
                    <xdr:rowOff>0</xdr:rowOff>
                  </from>
                  <to>
                    <xdr:col>18</xdr:col>
                    <xdr:colOff>236220</xdr:colOff>
                    <xdr:row>7</xdr:row>
                    <xdr:rowOff>7620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45720</xdr:colOff>
                    <xdr:row>7</xdr:row>
                    <xdr:rowOff>0</xdr:rowOff>
                  </from>
                  <to>
                    <xdr:col>18</xdr:col>
                    <xdr:colOff>236220</xdr:colOff>
                    <xdr:row>8</xdr:row>
                    <xdr:rowOff>7620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45720</xdr:colOff>
                    <xdr:row>8</xdr:row>
                    <xdr:rowOff>0</xdr:rowOff>
                  </from>
                  <to>
                    <xdr:col>18</xdr:col>
                    <xdr:colOff>236220</xdr:colOff>
                    <xdr:row>9</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45720</xdr:colOff>
                    <xdr:row>9</xdr:row>
                    <xdr:rowOff>0</xdr:rowOff>
                  </from>
                  <to>
                    <xdr:col>18</xdr:col>
                    <xdr:colOff>236220</xdr:colOff>
                    <xdr:row>10</xdr:row>
                    <xdr:rowOff>7620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45720</xdr:colOff>
                    <xdr:row>10</xdr:row>
                    <xdr:rowOff>0</xdr:rowOff>
                  </from>
                  <to>
                    <xdr:col>18</xdr:col>
                    <xdr:colOff>236220</xdr:colOff>
                    <xdr:row>11</xdr:row>
                    <xdr:rowOff>7620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45720</xdr:colOff>
                    <xdr:row>11</xdr:row>
                    <xdr:rowOff>0</xdr:rowOff>
                  </from>
                  <to>
                    <xdr:col>18</xdr:col>
                    <xdr:colOff>236220</xdr:colOff>
                    <xdr:row>12</xdr:row>
                    <xdr:rowOff>7620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45720</xdr:colOff>
                    <xdr:row>12</xdr:row>
                    <xdr:rowOff>0</xdr:rowOff>
                  </from>
                  <to>
                    <xdr:col>18</xdr:col>
                    <xdr:colOff>236220</xdr:colOff>
                    <xdr:row>13</xdr:row>
                    <xdr:rowOff>7620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45720</xdr:colOff>
                    <xdr:row>13</xdr:row>
                    <xdr:rowOff>0</xdr:rowOff>
                  </from>
                  <to>
                    <xdr:col>18</xdr:col>
                    <xdr:colOff>236220</xdr:colOff>
                    <xdr:row>14</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45720</xdr:colOff>
                    <xdr:row>14</xdr:row>
                    <xdr:rowOff>0</xdr:rowOff>
                  </from>
                  <to>
                    <xdr:col>18</xdr:col>
                    <xdr:colOff>236220</xdr:colOff>
                    <xdr:row>15</xdr:row>
                    <xdr:rowOff>7620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45720</xdr:colOff>
                    <xdr:row>15</xdr:row>
                    <xdr:rowOff>0</xdr:rowOff>
                  </from>
                  <to>
                    <xdr:col>18</xdr:col>
                    <xdr:colOff>236220</xdr:colOff>
                    <xdr:row>16</xdr:row>
                    <xdr:rowOff>7620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45720</xdr:colOff>
                    <xdr:row>16</xdr:row>
                    <xdr:rowOff>0</xdr:rowOff>
                  </from>
                  <to>
                    <xdr:col>18</xdr:col>
                    <xdr:colOff>236220</xdr:colOff>
                    <xdr:row>17</xdr:row>
                    <xdr:rowOff>7620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45720</xdr:colOff>
                    <xdr:row>17</xdr:row>
                    <xdr:rowOff>0</xdr:rowOff>
                  </from>
                  <to>
                    <xdr:col>18</xdr:col>
                    <xdr:colOff>236220</xdr:colOff>
                    <xdr:row>18</xdr:row>
                    <xdr:rowOff>7620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45720</xdr:colOff>
                    <xdr:row>18</xdr:row>
                    <xdr:rowOff>0</xdr:rowOff>
                  </from>
                  <to>
                    <xdr:col>18</xdr:col>
                    <xdr:colOff>236220</xdr:colOff>
                    <xdr:row>19</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45720</xdr:colOff>
                    <xdr:row>19</xdr:row>
                    <xdr:rowOff>0</xdr:rowOff>
                  </from>
                  <to>
                    <xdr:col>18</xdr:col>
                    <xdr:colOff>236220</xdr:colOff>
                    <xdr:row>20</xdr:row>
                    <xdr:rowOff>7620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45720</xdr:colOff>
                    <xdr:row>20</xdr:row>
                    <xdr:rowOff>0</xdr:rowOff>
                  </from>
                  <to>
                    <xdr:col>18</xdr:col>
                    <xdr:colOff>236220</xdr:colOff>
                    <xdr:row>21</xdr:row>
                    <xdr:rowOff>7620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45720</xdr:colOff>
                    <xdr:row>21</xdr:row>
                    <xdr:rowOff>0</xdr:rowOff>
                  </from>
                  <to>
                    <xdr:col>18</xdr:col>
                    <xdr:colOff>236220</xdr:colOff>
                    <xdr:row>22</xdr:row>
                    <xdr:rowOff>7620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45720</xdr:colOff>
                    <xdr:row>22</xdr:row>
                    <xdr:rowOff>0</xdr:rowOff>
                  </from>
                  <to>
                    <xdr:col>18</xdr:col>
                    <xdr:colOff>236220</xdr:colOff>
                    <xdr:row>23</xdr:row>
                    <xdr:rowOff>7620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45720</xdr:colOff>
                    <xdr:row>23</xdr:row>
                    <xdr:rowOff>0</xdr:rowOff>
                  </from>
                  <to>
                    <xdr:col>18</xdr:col>
                    <xdr:colOff>236220</xdr:colOff>
                    <xdr:row>24</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45720</xdr:colOff>
                    <xdr:row>24</xdr:row>
                    <xdr:rowOff>0</xdr:rowOff>
                  </from>
                  <to>
                    <xdr:col>18</xdr:col>
                    <xdr:colOff>236220</xdr:colOff>
                    <xdr:row>25</xdr:row>
                    <xdr:rowOff>7620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45720</xdr:colOff>
                    <xdr:row>25</xdr:row>
                    <xdr:rowOff>0</xdr:rowOff>
                  </from>
                  <to>
                    <xdr:col>18</xdr:col>
                    <xdr:colOff>236220</xdr:colOff>
                    <xdr:row>26</xdr:row>
                    <xdr:rowOff>7620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45720</xdr:colOff>
                    <xdr:row>26</xdr:row>
                    <xdr:rowOff>0</xdr:rowOff>
                  </from>
                  <to>
                    <xdr:col>18</xdr:col>
                    <xdr:colOff>236220</xdr:colOff>
                    <xdr:row>27</xdr:row>
                    <xdr:rowOff>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45720</xdr:colOff>
                    <xdr:row>39</xdr:row>
                    <xdr:rowOff>0</xdr:rowOff>
                  </from>
                  <to>
                    <xdr:col>18</xdr:col>
                    <xdr:colOff>236220</xdr:colOff>
                    <xdr:row>40</xdr:row>
                    <xdr:rowOff>7620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45720</xdr:colOff>
                    <xdr:row>40</xdr:row>
                    <xdr:rowOff>0</xdr:rowOff>
                  </from>
                  <to>
                    <xdr:col>18</xdr:col>
                    <xdr:colOff>236220</xdr:colOff>
                    <xdr:row>41</xdr:row>
                    <xdr:rowOff>7620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45720</xdr:colOff>
                    <xdr:row>41</xdr:row>
                    <xdr:rowOff>0</xdr:rowOff>
                  </from>
                  <to>
                    <xdr:col>18</xdr:col>
                    <xdr:colOff>236220</xdr:colOff>
                    <xdr:row>42</xdr:row>
                    <xdr:rowOff>7620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45720</xdr:colOff>
                    <xdr:row>42</xdr:row>
                    <xdr:rowOff>0</xdr:rowOff>
                  </from>
                  <to>
                    <xdr:col>18</xdr:col>
                    <xdr:colOff>236220</xdr:colOff>
                    <xdr:row>43</xdr:row>
                    <xdr:rowOff>7620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45720</xdr:colOff>
                    <xdr:row>43</xdr:row>
                    <xdr:rowOff>0</xdr:rowOff>
                  </from>
                  <to>
                    <xdr:col>18</xdr:col>
                    <xdr:colOff>236220</xdr:colOff>
                    <xdr:row>44</xdr:row>
                    <xdr:rowOff>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45720</xdr:colOff>
                    <xdr:row>44</xdr:row>
                    <xdr:rowOff>0</xdr:rowOff>
                  </from>
                  <to>
                    <xdr:col>18</xdr:col>
                    <xdr:colOff>236220</xdr:colOff>
                    <xdr:row>45</xdr:row>
                    <xdr:rowOff>7620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45720</xdr:colOff>
                    <xdr:row>45</xdr:row>
                    <xdr:rowOff>0</xdr:rowOff>
                  </from>
                  <to>
                    <xdr:col>18</xdr:col>
                    <xdr:colOff>236220</xdr:colOff>
                    <xdr:row>46</xdr:row>
                    <xdr:rowOff>7620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45720</xdr:colOff>
                    <xdr:row>46</xdr:row>
                    <xdr:rowOff>0</xdr:rowOff>
                  </from>
                  <to>
                    <xdr:col>18</xdr:col>
                    <xdr:colOff>236220</xdr:colOff>
                    <xdr:row>47</xdr:row>
                    <xdr:rowOff>7620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45720</xdr:colOff>
                    <xdr:row>47</xdr:row>
                    <xdr:rowOff>0</xdr:rowOff>
                  </from>
                  <to>
                    <xdr:col>18</xdr:col>
                    <xdr:colOff>236220</xdr:colOff>
                    <xdr:row>48</xdr:row>
                    <xdr:rowOff>7620</xdr:rowOff>
                  </to>
                </anchor>
              </controlPr>
            </control>
          </mc:Choice>
        </mc:AlternateContent>
        <mc:AlternateContent xmlns:mc="http://schemas.openxmlformats.org/markup-compatibility/2006">
          <mc:Choice Requires="x14">
            <control shapeId="1193" r:id="rId36" name="Check Box 169">
              <controlPr defaultSize="0" autoFill="0" autoLine="0" autoPict="0">
                <anchor moveWithCells="1">
                  <from>
                    <xdr:col>18</xdr:col>
                    <xdr:colOff>45720</xdr:colOff>
                    <xdr:row>48</xdr:row>
                    <xdr:rowOff>0</xdr:rowOff>
                  </from>
                  <to>
                    <xdr:col>18</xdr:col>
                    <xdr:colOff>236220</xdr:colOff>
                    <xdr:row>49</xdr:row>
                    <xdr:rowOff>0</xdr:rowOff>
                  </to>
                </anchor>
              </controlPr>
            </control>
          </mc:Choice>
        </mc:AlternateContent>
        <mc:AlternateContent xmlns:mc="http://schemas.openxmlformats.org/markup-compatibility/2006">
          <mc:Choice Requires="x14">
            <control shapeId="1194" r:id="rId37" name="Check Box 170">
              <controlPr defaultSize="0" autoFill="0" autoLine="0" autoPict="0">
                <anchor moveWithCells="1">
                  <from>
                    <xdr:col>18</xdr:col>
                    <xdr:colOff>45720</xdr:colOff>
                    <xdr:row>49</xdr:row>
                    <xdr:rowOff>0</xdr:rowOff>
                  </from>
                  <to>
                    <xdr:col>18</xdr:col>
                    <xdr:colOff>236220</xdr:colOff>
                    <xdr:row>50</xdr:row>
                    <xdr:rowOff>7620</xdr:rowOff>
                  </to>
                </anchor>
              </controlPr>
            </control>
          </mc:Choice>
        </mc:AlternateContent>
        <mc:AlternateContent xmlns:mc="http://schemas.openxmlformats.org/markup-compatibility/2006">
          <mc:Choice Requires="x14">
            <control shapeId="1195" r:id="rId38" name="Check Box 171">
              <controlPr defaultSize="0" autoFill="0" autoLine="0" autoPict="0">
                <anchor moveWithCells="1">
                  <from>
                    <xdr:col>18</xdr:col>
                    <xdr:colOff>45720</xdr:colOff>
                    <xdr:row>50</xdr:row>
                    <xdr:rowOff>0</xdr:rowOff>
                  </from>
                  <to>
                    <xdr:col>18</xdr:col>
                    <xdr:colOff>236220</xdr:colOff>
                    <xdr:row>51</xdr:row>
                    <xdr:rowOff>0</xdr:rowOff>
                  </to>
                </anchor>
              </controlPr>
            </control>
          </mc:Choice>
        </mc:AlternateContent>
        <mc:AlternateContent xmlns:mc="http://schemas.openxmlformats.org/markup-compatibility/2006">
          <mc:Choice Requires="x14">
            <control shapeId="1221" r:id="rId39" name="Check Box 197">
              <controlPr defaultSize="0" autoFill="0" autoLine="0" autoPict="0">
                <anchor moveWithCells="1">
                  <from>
                    <xdr:col>11</xdr:col>
                    <xdr:colOff>76200</xdr:colOff>
                    <xdr:row>3</xdr:row>
                    <xdr:rowOff>464820</xdr:rowOff>
                  </from>
                  <to>
                    <xdr:col>11</xdr:col>
                    <xdr:colOff>297180</xdr:colOff>
                    <xdr:row>5</xdr:row>
                    <xdr:rowOff>22860</xdr:rowOff>
                  </to>
                </anchor>
              </controlPr>
            </control>
          </mc:Choice>
        </mc:AlternateContent>
        <mc:AlternateContent xmlns:mc="http://schemas.openxmlformats.org/markup-compatibility/2006">
          <mc:Choice Requires="x14">
            <control shapeId="1222" r:id="rId40" name="Check Box 198">
              <controlPr defaultSize="0" autoFill="0" autoLine="0" autoPict="0">
                <anchor moveWithCells="1">
                  <from>
                    <xdr:col>11</xdr:col>
                    <xdr:colOff>76200</xdr:colOff>
                    <xdr:row>4</xdr:row>
                    <xdr:rowOff>175260</xdr:rowOff>
                  </from>
                  <to>
                    <xdr:col>11</xdr:col>
                    <xdr:colOff>297180</xdr:colOff>
                    <xdr:row>6</xdr:row>
                    <xdr:rowOff>7620</xdr:rowOff>
                  </to>
                </anchor>
              </controlPr>
            </control>
          </mc:Choice>
        </mc:AlternateContent>
        <mc:AlternateContent xmlns:mc="http://schemas.openxmlformats.org/markup-compatibility/2006">
          <mc:Choice Requires="x14">
            <control shapeId="1248" r:id="rId41" name="Check Box 224">
              <controlPr defaultSize="0" autoFill="0" autoLine="0" autoPict="0">
                <anchor moveWithCells="1">
                  <from>
                    <xdr:col>11</xdr:col>
                    <xdr:colOff>76200</xdr:colOff>
                    <xdr:row>5</xdr:row>
                    <xdr:rowOff>175260</xdr:rowOff>
                  </from>
                  <to>
                    <xdr:col>11</xdr:col>
                    <xdr:colOff>297180</xdr:colOff>
                    <xdr:row>7</xdr:row>
                    <xdr:rowOff>22860</xdr:rowOff>
                  </to>
                </anchor>
              </controlPr>
            </control>
          </mc:Choice>
        </mc:AlternateContent>
        <mc:AlternateContent xmlns:mc="http://schemas.openxmlformats.org/markup-compatibility/2006">
          <mc:Choice Requires="x14">
            <control shapeId="1249" r:id="rId42" name="Check Box 225">
              <controlPr defaultSize="0" autoFill="0" autoLine="0" autoPict="0">
                <anchor moveWithCells="1">
                  <from>
                    <xdr:col>11</xdr:col>
                    <xdr:colOff>76200</xdr:colOff>
                    <xdr:row>6</xdr:row>
                    <xdr:rowOff>175260</xdr:rowOff>
                  </from>
                  <to>
                    <xdr:col>11</xdr:col>
                    <xdr:colOff>297180</xdr:colOff>
                    <xdr:row>8</xdr:row>
                    <xdr:rowOff>7620</xdr:rowOff>
                  </to>
                </anchor>
              </controlPr>
            </control>
          </mc:Choice>
        </mc:AlternateContent>
        <mc:AlternateContent xmlns:mc="http://schemas.openxmlformats.org/markup-compatibility/2006">
          <mc:Choice Requires="x14">
            <control shapeId="1250" r:id="rId43" name="Check Box 226">
              <controlPr defaultSize="0" autoFill="0" autoLine="0" autoPict="0">
                <anchor moveWithCells="1">
                  <from>
                    <xdr:col>11</xdr:col>
                    <xdr:colOff>76200</xdr:colOff>
                    <xdr:row>7</xdr:row>
                    <xdr:rowOff>175260</xdr:rowOff>
                  </from>
                  <to>
                    <xdr:col>11</xdr:col>
                    <xdr:colOff>297180</xdr:colOff>
                    <xdr:row>9</xdr:row>
                    <xdr:rowOff>7620</xdr:rowOff>
                  </to>
                </anchor>
              </controlPr>
            </control>
          </mc:Choice>
        </mc:AlternateContent>
        <mc:AlternateContent xmlns:mc="http://schemas.openxmlformats.org/markup-compatibility/2006">
          <mc:Choice Requires="x14">
            <control shapeId="1251" r:id="rId44" name="Check Box 227">
              <controlPr defaultSize="0" autoFill="0" autoLine="0" autoPict="0">
                <anchor moveWithCells="1">
                  <from>
                    <xdr:col>11</xdr:col>
                    <xdr:colOff>76200</xdr:colOff>
                    <xdr:row>8</xdr:row>
                    <xdr:rowOff>175260</xdr:rowOff>
                  </from>
                  <to>
                    <xdr:col>11</xdr:col>
                    <xdr:colOff>297180</xdr:colOff>
                    <xdr:row>10</xdr:row>
                    <xdr:rowOff>0</xdr:rowOff>
                  </to>
                </anchor>
              </controlPr>
            </control>
          </mc:Choice>
        </mc:AlternateContent>
        <mc:AlternateContent xmlns:mc="http://schemas.openxmlformats.org/markup-compatibility/2006">
          <mc:Choice Requires="x14">
            <control shapeId="1252" r:id="rId45" name="Check Box 228">
              <controlPr defaultSize="0" autoFill="0" autoLine="0" autoPict="0">
                <anchor moveWithCells="1">
                  <from>
                    <xdr:col>11</xdr:col>
                    <xdr:colOff>76200</xdr:colOff>
                    <xdr:row>9</xdr:row>
                    <xdr:rowOff>160020</xdr:rowOff>
                  </from>
                  <to>
                    <xdr:col>11</xdr:col>
                    <xdr:colOff>297180</xdr:colOff>
                    <xdr:row>11</xdr:row>
                    <xdr:rowOff>7620</xdr:rowOff>
                  </to>
                </anchor>
              </controlPr>
            </control>
          </mc:Choice>
        </mc:AlternateContent>
        <mc:AlternateContent xmlns:mc="http://schemas.openxmlformats.org/markup-compatibility/2006">
          <mc:Choice Requires="x14">
            <control shapeId="1253" r:id="rId46" name="Check Box 229">
              <controlPr defaultSize="0" autoFill="0" autoLine="0" autoPict="0">
                <anchor moveWithCells="1">
                  <from>
                    <xdr:col>11</xdr:col>
                    <xdr:colOff>76200</xdr:colOff>
                    <xdr:row>10</xdr:row>
                    <xdr:rowOff>160020</xdr:rowOff>
                  </from>
                  <to>
                    <xdr:col>11</xdr:col>
                    <xdr:colOff>297180</xdr:colOff>
                    <xdr:row>12</xdr:row>
                    <xdr:rowOff>0</xdr:rowOff>
                  </to>
                </anchor>
              </controlPr>
            </control>
          </mc:Choice>
        </mc:AlternateContent>
        <mc:AlternateContent xmlns:mc="http://schemas.openxmlformats.org/markup-compatibility/2006">
          <mc:Choice Requires="x14">
            <control shapeId="1254" r:id="rId47" name="Check Box 230">
              <controlPr defaultSize="0" autoFill="0" autoLine="0" autoPict="0">
                <anchor moveWithCells="1">
                  <from>
                    <xdr:col>11</xdr:col>
                    <xdr:colOff>83820</xdr:colOff>
                    <xdr:row>11</xdr:row>
                    <xdr:rowOff>160020</xdr:rowOff>
                  </from>
                  <to>
                    <xdr:col>11</xdr:col>
                    <xdr:colOff>297180</xdr:colOff>
                    <xdr:row>13</xdr:row>
                    <xdr:rowOff>7620</xdr:rowOff>
                  </to>
                </anchor>
              </controlPr>
            </control>
          </mc:Choice>
        </mc:AlternateContent>
        <mc:AlternateContent xmlns:mc="http://schemas.openxmlformats.org/markup-compatibility/2006">
          <mc:Choice Requires="x14">
            <control shapeId="1255" r:id="rId48" name="Check Box 231">
              <controlPr defaultSize="0" autoFill="0" autoLine="0" autoPict="0">
                <anchor moveWithCells="1">
                  <from>
                    <xdr:col>11</xdr:col>
                    <xdr:colOff>83820</xdr:colOff>
                    <xdr:row>12</xdr:row>
                    <xdr:rowOff>160020</xdr:rowOff>
                  </from>
                  <to>
                    <xdr:col>11</xdr:col>
                    <xdr:colOff>297180</xdr:colOff>
                    <xdr:row>14</xdr:row>
                    <xdr:rowOff>0</xdr:rowOff>
                  </to>
                </anchor>
              </controlPr>
            </control>
          </mc:Choice>
        </mc:AlternateContent>
        <mc:AlternateContent xmlns:mc="http://schemas.openxmlformats.org/markup-compatibility/2006">
          <mc:Choice Requires="x14">
            <control shapeId="1256" r:id="rId49" name="Check Box 232">
              <controlPr defaultSize="0" autoFill="0" autoLine="0" autoPict="0">
                <anchor moveWithCells="1">
                  <from>
                    <xdr:col>11</xdr:col>
                    <xdr:colOff>83820</xdr:colOff>
                    <xdr:row>13</xdr:row>
                    <xdr:rowOff>160020</xdr:rowOff>
                  </from>
                  <to>
                    <xdr:col>11</xdr:col>
                    <xdr:colOff>297180</xdr:colOff>
                    <xdr:row>15</xdr:row>
                    <xdr:rowOff>7620</xdr:rowOff>
                  </to>
                </anchor>
              </controlPr>
            </control>
          </mc:Choice>
        </mc:AlternateContent>
        <mc:AlternateContent xmlns:mc="http://schemas.openxmlformats.org/markup-compatibility/2006">
          <mc:Choice Requires="x14">
            <control shapeId="1257" r:id="rId50" name="Check Box 233">
              <controlPr defaultSize="0" autoFill="0" autoLine="0" autoPict="0">
                <anchor moveWithCells="1">
                  <from>
                    <xdr:col>11</xdr:col>
                    <xdr:colOff>83820</xdr:colOff>
                    <xdr:row>14</xdr:row>
                    <xdr:rowOff>160020</xdr:rowOff>
                  </from>
                  <to>
                    <xdr:col>11</xdr:col>
                    <xdr:colOff>297180</xdr:colOff>
                    <xdr:row>16</xdr:row>
                    <xdr:rowOff>0</xdr:rowOff>
                  </to>
                </anchor>
              </controlPr>
            </control>
          </mc:Choice>
        </mc:AlternateContent>
        <mc:AlternateContent xmlns:mc="http://schemas.openxmlformats.org/markup-compatibility/2006">
          <mc:Choice Requires="x14">
            <control shapeId="1258" r:id="rId51" name="Check Box 234">
              <controlPr defaultSize="0" autoFill="0" autoLine="0" autoPict="0">
                <anchor moveWithCells="1">
                  <from>
                    <xdr:col>11</xdr:col>
                    <xdr:colOff>83820</xdr:colOff>
                    <xdr:row>15</xdr:row>
                    <xdr:rowOff>160020</xdr:rowOff>
                  </from>
                  <to>
                    <xdr:col>11</xdr:col>
                    <xdr:colOff>297180</xdr:colOff>
                    <xdr:row>17</xdr:row>
                    <xdr:rowOff>0</xdr:rowOff>
                  </to>
                </anchor>
              </controlPr>
            </control>
          </mc:Choice>
        </mc:AlternateContent>
        <mc:AlternateContent xmlns:mc="http://schemas.openxmlformats.org/markup-compatibility/2006">
          <mc:Choice Requires="x14">
            <control shapeId="1259" r:id="rId52" name="Check Box 235">
              <controlPr defaultSize="0" autoFill="0" autoLine="0" autoPict="0">
                <anchor moveWithCells="1">
                  <from>
                    <xdr:col>11</xdr:col>
                    <xdr:colOff>83820</xdr:colOff>
                    <xdr:row>16</xdr:row>
                    <xdr:rowOff>160020</xdr:rowOff>
                  </from>
                  <to>
                    <xdr:col>11</xdr:col>
                    <xdr:colOff>297180</xdr:colOff>
                    <xdr:row>17</xdr:row>
                    <xdr:rowOff>182880</xdr:rowOff>
                  </to>
                </anchor>
              </controlPr>
            </control>
          </mc:Choice>
        </mc:AlternateContent>
        <mc:AlternateContent xmlns:mc="http://schemas.openxmlformats.org/markup-compatibility/2006">
          <mc:Choice Requires="x14">
            <control shapeId="1260" r:id="rId53" name="Check Box 236">
              <controlPr defaultSize="0" autoFill="0" autoLine="0" autoPict="0">
                <anchor moveWithCells="1">
                  <from>
                    <xdr:col>11</xdr:col>
                    <xdr:colOff>83820</xdr:colOff>
                    <xdr:row>17</xdr:row>
                    <xdr:rowOff>152400</xdr:rowOff>
                  </from>
                  <to>
                    <xdr:col>11</xdr:col>
                    <xdr:colOff>297180</xdr:colOff>
                    <xdr:row>18</xdr:row>
                    <xdr:rowOff>182880</xdr:rowOff>
                  </to>
                </anchor>
              </controlPr>
            </control>
          </mc:Choice>
        </mc:AlternateContent>
        <mc:AlternateContent xmlns:mc="http://schemas.openxmlformats.org/markup-compatibility/2006">
          <mc:Choice Requires="x14">
            <control shapeId="1262" r:id="rId54" name="Check Box 238">
              <controlPr defaultSize="0" autoFill="0" autoLine="0" autoPict="0">
                <anchor moveWithCells="1">
                  <from>
                    <xdr:col>11</xdr:col>
                    <xdr:colOff>83820</xdr:colOff>
                    <xdr:row>18</xdr:row>
                    <xdr:rowOff>182880</xdr:rowOff>
                  </from>
                  <to>
                    <xdr:col>11</xdr:col>
                    <xdr:colOff>297180</xdr:colOff>
                    <xdr:row>20</xdr:row>
                    <xdr:rowOff>7620</xdr:rowOff>
                  </to>
                </anchor>
              </controlPr>
            </control>
          </mc:Choice>
        </mc:AlternateContent>
        <mc:AlternateContent xmlns:mc="http://schemas.openxmlformats.org/markup-compatibility/2006">
          <mc:Choice Requires="x14">
            <control shapeId="1263" r:id="rId55" name="Check Box 239">
              <controlPr defaultSize="0" autoFill="0" autoLine="0" autoPict="0">
                <anchor moveWithCells="1">
                  <from>
                    <xdr:col>11</xdr:col>
                    <xdr:colOff>83820</xdr:colOff>
                    <xdr:row>19</xdr:row>
                    <xdr:rowOff>160020</xdr:rowOff>
                  </from>
                  <to>
                    <xdr:col>11</xdr:col>
                    <xdr:colOff>297180</xdr:colOff>
                    <xdr:row>21</xdr:row>
                    <xdr:rowOff>7620</xdr:rowOff>
                  </to>
                </anchor>
              </controlPr>
            </control>
          </mc:Choice>
        </mc:AlternateContent>
        <mc:AlternateContent xmlns:mc="http://schemas.openxmlformats.org/markup-compatibility/2006">
          <mc:Choice Requires="x14">
            <control shapeId="1264" r:id="rId56" name="Check Box 240">
              <controlPr defaultSize="0" autoFill="0" autoLine="0" autoPict="0">
                <anchor moveWithCells="1">
                  <from>
                    <xdr:col>11</xdr:col>
                    <xdr:colOff>83820</xdr:colOff>
                    <xdr:row>20</xdr:row>
                    <xdr:rowOff>160020</xdr:rowOff>
                  </from>
                  <to>
                    <xdr:col>11</xdr:col>
                    <xdr:colOff>297180</xdr:colOff>
                    <xdr:row>22</xdr:row>
                    <xdr:rowOff>7620</xdr:rowOff>
                  </to>
                </anchor>
              </controlPr>
            </control>
          </mc:Choice>
        </mc:AlternateContent>
        <mc:AlternateContent xmlns:mc="http://schemas.openxmlformats.org/markup-compatibility/2006">
          <mc:Choice Requires="x14">
            <control shapeId="1265" r:id="rId57" name="Check Box 241">
              <controlPr defaultSize="0" autoFill="0" autoLine="0" autoPict="0">
                <anchor moveWithCells="1">
                  <from>
                    <xdr:col>11</xdr:col>
                    <xdr:colOff>83820</xdr:colOff>
                    <xdr:row>21</xdr:row>
                    <xdr:rowOff>160020</xdr:rowOff>
                  </from>
                  <to>
                    <xdr:col>11</xdr:col>
                    <xdr:colOff>297180</xdr:colOff>
                    <xdr:row>23</xdr:row>
                    <xdr:rowOff>0</xdr:rowOff>
                  </to>
                </anchor>
              </controlPr>
            </control>
          </mc:Choice>
        </mc:AlternateContent>
        <mc:AlternateContent xmlns:mc="http://schemas.openxmlformats.org/markup-compatibility/2006">
          <mc:Choice Requires="x14">
            <control shapeId="1266" r:id="rId58" name="Check Box 242">
              <controlPr defaultSize="0" autoFill="0" autoLine="0" autoPict="0">
                <anchor moveWithCells="1">
                  <from>
                    <xdr:col>11</xdr:col>
                    <xdr:colOff>83820</xdr:colOff>
                    <xdr:row>22</xdr:row>
                    <xdr:rowOff>160020</xdr:rowOff>
                  </from>
                  <to>
                    <xdr:col>11</xdr:col>
                    <xdr:colOff>297180</xdr:colOff>
                    <xdr:row>24</xdr:row>
                    <xdr:rowOff>0</xdr:rowOff>
                  </to>
                </anchor>
              </controlPr>
            </control>
          </mc:Choice>
        </mc:AlternateContent>
        <mc:AlternateContent xmlns:mc="http://schemas.openxmlformats.org/markup-compatibility/2006">
          <mc:Choice Requires="x14">
            <control shapeId="1267" r:id="rId59" name="Check Box 243">
              <controlPr defaultSize="0" autoFill="0" autoLine="0" autoPict="0">
                <anchor moveWithCells="1">
                  <from>
                    <xdr:col>11</xdr:col>
                    <xdr:colOff>83820</xdr:colOff>
                    <xdr:row>23</xdr:row>
                    <xdr:rowOff>182880</xdr:rowOff>
                  </from>
                  <to>
                    <xdr:col>11</xdr:col>
                    <xdr:colOff>304800</xdr:colOff>
                    <xdr:row>25</xdr:row>
                    <xdr:rowOff>7620</xdr:rowOff>
                  </to>
                </anchor>
              </controlPr>
            </control>
          </mc:Choice>
        </mc:AlternateContent>
        <mc:AlternateContent xmlns:mc="http://schemas.openxmlformats.org/markup-compatibility/2006">
          <mc:Choice Requires="x14">
            <control shapeId="1268" r:id="rId60" name="Check Box 244">
              <controlPr defaultSize="0" autoFill="0" autoLine="0" autoPict="0">
                <anchor moveWithCells="1">
                  <from>
                    <xdr:col>11</xdr:col>
                    <xdr:colOff>83820</xdr:colOff>
                    <xdr:row>24</xdr:row>
                    <xdr:rowOff>175260</xdr:rowOff>
                  </from>
                  <to>
                    <xdr:col>11</xdr:col>
                    <xdr:colOff>304800</xdr:colOff>
                    <xdr:row>26</xdr:row>
                    <xdr:rowOff>7620</xdr:rowOff>
                  </to>
                </anchor>
              </controlPr>
            </control>
          </mc:Choice>
        </mc:AlternateContent>
        <mc:AlternateContent xmlns:mc="http://schemas.openxmlformats.org/markup-compatibility/2006">
          <mc:Choice Requires="x14">
            <control shapeId="1269" r:id="rId61" name="Check Box 245">
              <controlPr defaultSize="0" autoFill="0" autoLine="0" autoPict="0">
                <anchor moveWithCells="1">
                  <from>
                    <xdr:col>11</xdr:col>
                    <xdr:colOff>83820</xdr:colOff>
                    <xdr:row>25</xdr:row>
                    <xdr:rowOff>160020</xdr:rowOff>
                  </from>
                  <to>
                    <xdr:col>11</xdr:col>
                    <xdr:colOff>304800</xdr:colOff>
                    <xdr:row>27</xdr:row>
                    <xdr:rowOff>7620</xdr:rowOff>
                  </to>
                </anchor>
              </controlPr>
            </control>
          </mc:Choice>
        </mc:AlternateContent>
        <mc:AlternateContent xmlns:mc="http://schemas.openxmlformats.org/markup-compatibility/2006">
          <mc:Choice Requires="x14">
            <control shapeId="1285" r:id="rId62" name="Check Box 261">
              <controlPr defaultSize="0" autoFill="0" autoLine="0" autoPict="0">
                <anchor moveWithCells="1">
                  <from>
                    <xdr:col>12</xdr:col>
                    <xdr:colOff>68580</xdr:colOff>
                    <xdr:row>3</xdr:row>
                    <xdr:rowOff>464820</xdr:rowOff>
                  </from>
                  <to>
                    <xdr:col>12</xdr:col>
                    <xdr:colOff>289560</xdr:colOff>
                    <xdr:row>5</xdr:row>
                    <xdr:rowOff>30480</xdr:rowOff>
                  </to>
                </anchor>
              </controlPr>
            </control>
          </mc:Choice>
        </mc:AlternateContent>
        <mc:AlternateContent xmlns:mc="http://schemas.openxmlformats.org/markup-compatibility/2006">
          <mc:Choice Requires="x14">
            <control shapeId="1286" r:id="rId63" name="Check Box 262">
              <controlPr defaultSize="0" autoFill="0" autoLine="0" autoPict="0">
                <anchor moveWithCells="1">
                  <from>
                    <xdr:col>12</xdr:col>
                    <xdr:colOff>68580</xdr:colOff>
                    <xdr:row>4</xdr:row>
                    <xdr:rowOff>182880</xdr:rowOff>
                  </from>
                  <to>
                    <xdr:col>12</xdr:col>
                    <xdr:colOff>289560</xdr:colOff>
                    <xdr:row>6</xdr:row>
                    <xdr:rowOff>22860</xdr:rowOff>
                  </to>
                </anchor>
              </controlPr>
            </control>
          </mc:Choice>
        </mc:AlternateContent>
        <mc:AlternateContent xmlns:mc="http://schemas.openxmlformats.org/markup-compatibility/2006">
          <mc:Choice Requires="x14">
            <control shapeId="1287" r:id="rId64" name="Check Box 263">
              <controlPr defaultSize="0" autoFill="0" autoLine="0" autoPict="0">
                <anchor moveWithCells="1">
                  <from>
                    <xdr:col>12</xdr:col>
                    <xdr:colOff>68580</xdr:colOff>
                    <xdr:row>5</xdr:row>
                    <xdr:rowOff>182880</xdr:rowOff>
                  </from>
                  <to>
                    <xdr:col>12</xdr:col>
                    <xdr:colOff>289560</xdr:colOff>
                    <xdr:row>7</xdr:row>
                    <xdr:rowOff>30480</xdr:rowOff>
                  </to>
                </anchor>
              </controlPr>
            </control>
          </mc:Choice>
        </mc:AlternateContent>
        <mc:AlternateContent xmlns:mc="http://schemas.openxmlformats.org/markup-compatibility/2006">
          <mc:Choice Requires="x14">
            <control shapeId="1288" r:id="rId65" name="Check Box 264">
              <controlPr defaultSize="0" autoFill="0" autoLine="0" autoPict="0">
                <anchor moveWithCells="1">
                  <from>
                    <xdr:col>12</xdr:col>
                    <xdr:colOff>68580</xdr:colOff>
                    <xdr:row>6</xdr:row>
                    <xdr:rowOff>182880</xdr:rowOff>
                  </from>
                  <to>
                    <xdr:col>12</xdr:col>
                    <xdr:colOff>289560</xdr:colOff>
                    <xdr:row>8</xdr:row>
                    <xdr:rowOff>22860</xdr:rowOff>
                  </to>
                </anchor>
              </controlPr>
            </control>
          </mc:Choice>
        </mc:AlternateContent>
        <mc:AlternateContent xmlns:mc="http://schemas.openxmlformats.org/markup-compatibility/2006">
          <mc:Choice Requires="x14">
            <control shapeId="1289" r:id="rId66" name="Check Box 265">
              <controlPr defaultSize="0" autoFill="0" autoLine="0" autoPict="0">
                <anchor moveWithCells="1">
                  <from>
                    <xdr:col>12</xdr:col>
                    <xdr:colOff>68580</xdr:colOff>
                    <xdr:row>7</xdr:row>
                    <xdr:rowOff>182880</xdr:rowOff>
                  </from>
                  <to>
                    <xdr:col>12</xdr:col>
                    <xdr:colOff>289560</xdr:colOff>
                    <xdr:row>9</xdr:row>
                    <xdr:rowOff>7620</xdr:rowOff>
                  </to>
                </anchor>
              </controlPr>
            </control>
          </mc:Choice>
        </mc:AlternateContent>
        <mc:AlternateContent xmlns:mc="http://schemas.openxmlformats.org/markup-compatibility/2006">
          <mc:Choice Requires="x14">
            <control shapeId="1290" r:id="rId67" name="Check Box 266">
              <controlPr defaultSize="0" autoFill="0" autoLine="0" autoPict="0">
                <anchor moveWithCells="1">
                  <from>
                    <xdr:col>12</xdr:col>
                    <xdr:colOff>68580</xdr:colOff>
                    <xdr:row>8</xdr:row>
                    <xdr:rowOff>182880</xdr:rowOff>
                  </from>
                  <to>
                    <xdr:col>12</xdr:col>
                    <xdr:colOff>289560</xdr:colOff>
                    <xdr:row>10</xdr:row>
                    <xdr:rowOff>7620</xdr:rowOff>
                  </to>
                </anchor>
              </controlPr>
            </control>
          </mc:Choice>
        </mc:AlternateContent>
        <mc:AlternateContent xmlns:mc="http://schemas.openxmlformats.org/markup-compatibility/2006">
          <mc:Choice Requires="x14">
            <control shapeId="1291" r:id="rId68" name="Check Box 267">
              <controlPr defaultSize="0" autoFill="0" autoLine="0" autoPict="0">
                <anchor moveWithCells="1">
                  <from>
                    <xdr:col>12</xdr:col>
                    <xdr:colOff>68580</xdr:colOff>
                    <xdr:row>9</xdr:row>
                    <xdr:rowOff>160020</xdr:rowOff>
                  </from>
                  <to>
                    <xdr:col>12</xdr:col>
                    <xdr:colOff>289560</xdr:colOff>
                    <xdr:row>11</xdr:row>
                    <xdr:rowOff>7620</xdr:rowOff>
                  </to>
                </anchor>
              </controlPr>
            </control>
          </mc:Choice>
        </mc:AlternateContent>
        <mc:AlternateContent xmlns:mc="http://schemas.openxmlformats.org/markup-compatibility/2006">
          <mc:Choice Requires="x14">
            <control shapeId="1292" r:id="rId69" name="Check Box 268">
              <controlPr defaultSize="0" autoFill="0" autoLine="0" autoPict="0">
                <anchor moveWithCells="1">
                  <from>
                    <xdr:col>12</xdr:col>
                    <xdr:colOff>68580</xdr:colOff>
                    <xdr:row>10</xdr:row>
                    <xdr:rowOff>160020</xdr:rowOff>
                  </from>
                  <to>
                    <xdr:col>12</xdr:col>
                    <xdr:colOff>289560</xdr:colOff>
                    <xdr:row>12</xdr:row>
                    <xdr:rowOff>7620</xdr:rowOff>
                  </to>
                </anchor>
              </controlPr>
            </control>
          </mc:Choice>
        </mc:AlternateContent>
        <mc:AlternateContent xmlns:mc="http://schemas.openxmlformats.org/markup-compatibility/2006">
          <mc:Choice Requires="x14">
            <control shapeId="1293" r:id="rId70" name="Check Box 269">
              <controlPr defaultSize="0" autoFill="0" autoLine="0" autoPict="0">
                <anchor moveWithCells="1">
                  <from>
                    <xdr:col>12</xdr:col>
                    <xdr:colOff>68580</xdr:colOff>
                    <xdr:row>11</xdr:row>
                    <xdr:rowOff>175260</xdr:rowOff>
                  </from>
                  <to>
                    <xdr:col>12</xdr:col>
                    <xdr:colOff>297180</xdr:colOff>
                    <xdr:row>13</xdr:row>
                    <xdr:rowOff>22860</xdr:rowOff>
                  </to>
                </anchor>
              </controlPr>
            </control>
          </mc:Choice>
        </mc:AlternateContent>
        <mc:AlternateContent xmlns:mc="http://schemas.openxmlformats.org/markup-compatibility/2006">
          <mc:Choice Requires="x14">
            <control shapeId="1294" r:id="rId71" name="Check Box 270">
              <controlPr defaultSize="0" autoFill="0" autoLine="0" autoPict="0">
                <anchor moveWithCells="1">
                  <from>
                    <xdr:col>12</xdr:col>
                    <xdr:colOff>68580</xdr:colOff>
                    <xdr:row>12</xdr:row>
                    <xdr:rowOff>175260</xdr:rowOff>
                  </from>
                  <to>
                    <xdr:col>12</xdr:col>
                    <xdr:colOff>297180</xdr:colOff>
                    <xdr:row>14</xdr:row>
                    <xdr:rowOff>7620</xdr:rowOff>
                  </to>
                </anchor>
              </controlPr>
            </control>
          </mc:Choice>
        </mc:AlternateContent>
        <mc:AlternateContent xmlns:mc="http://schemas.openxmlformats.org/markup-compatibility/2006">
          <mc:Choice Requires="x14">
            <control shapeId="1295" r:id="rId72" name="Check Box 271">
              <controlPr defaultSize="0" autoFill="0" autoLine="0" autoPict="0">
                <anchor moveWithCells="1">
                  <from>
                    <xdr:col>12</xdr:col>
                    <xdr:colOff>68580</xdr:colOff>
                    <xdr:row>13</xdr:row>
                    <xdr:rowOff>175260</xdr:rowOff>
                  </from>
                  <to>
                    <xdr:col>12</xdr:col>
                    <xdr:colOff>297180</xdr:colOff>
                    <xdr:row>15</xdr:row>
                    <xdr:rowOff>7620</xdr:rowOff>
                  </to>
                </anchor>
              </controlPr>
            </control>
          </mc:Choice>
        </mc:AlternateContent>
        <mc:AlternateContent xmlns:mc="http://schemas.openxmlformats.org/markup-compatibility/2006">
          <mc:Choice Requires="x14">
            <control shapeId="1296" r:id="rId73" name="Check Box 272">
              <controlPr defaultSize="0" autoFill="0" autoLine="0" autoPict="0">
                <anchor moveWithCells="1">
                  <from>
                    <xdr:col>12</xdr:col>
                    <xdr:colOff>68580</xdr:colOff>
                    <xdr:row>14</xdr:row>
                    <xdr:rowOff>160020</xdr:rowOff>
                  </from>
                  <to>
                    <xdr:col>12</xdr:col>
                    <xdr:colOff>297180</xdr:colOff>
                    <xdr:row>16</xdr:row>
                    <xdr:rowOff>7620</xdr:rowOff>
                  </to>
                </anchor>
              </controlPr>
            </control>
          </mc:Choice>
        </mc:AlternateContent>
        <mc:AlternateContent xmlns:mc="http://schemas.openxmlformats.org/markup-compatibility/2006">
          <mc:Choice Requires="x14">
            <control shapeId="1297" r:id="rId74" name="Check Box 273">
              <controlPr defaultSize="0" autoFill="0" autoLine="0" autoPict="0">
                <anchor moveWithCells="1">
                  <from>
                    <xdr:col>12</xdr:col>
                    <xdr:colOff>68580</xdr:colOff>
                    <xdr:row>15</xdr:row>
                    <xdr:rowOff>160020</xdr:rowOff>
                  </from>
                  <to>
                    <xdr:col>12</xdr:col>
                    <xdr:colOff>297180</xdr:colOff>
                    <xdr:row>17</xdr:row>
                    <xdr:rowOff>7620</xdr:rowOff>
                  </to>
                </anchor>
              </controlPr>
            </control>
          </mc:Choice>
        </mc:AlternateContent>
        <mc:AlternateContent xmlns:mc="http://schemas.openxmlformats.org/markup-compatibility/2006">
          <mc:Choice Requires="x14">
            <control shapeId="1298" r:id="rId75" name="Check Box 274">
              <controlPr defaultSize="0" autoFill="0" autoLine="0" autoPict="0">
                <anchor moveWithCells="1">
                  <from>
                    <xdr:col>12</xdr:col>
                    <xdr:colOff>68580</xdr:colOff>
                    <xdr:row>16</xdr:row>
                    <xdr:rowOff>160020</xdr:rowOff>
                  </from>
                  <to>
                    <xdr:col>12</xdr:col>
                    <xdr:colOff>297180</xdr:colOff>
                    <xdr:row>18</xdr:row>
                    <xdr:rowOff>0</xdr:rowOff>
                  </to>
                </anchor>
              </controlPr>
            </control>
          </mc:Choice>
        </mc:AlternateContent>
        <mc:AlternateContent xmlns:mc="http://schemas.openxmlformats.org/markup-compatibility/2006">
          <mc:Choice Requires="x14">
            <control shapeId="1299" r:id="rId76" name="Check Box 275">
              <controlPr defaultSize="0" autoFill="0" autoLine="0" autoPict="0">
                <anchor moveWithCells="1">
                  <from>
                    <xdr:col>12</xdr:col>
                    <xdr:colOff>68580</xdr:colOff>
                    <xdr:row>17</xdr:row>
                    <xdr:rowOff>160020</xdr:rowOff>
                  </from>
                  <to>
                    <xdr:col>12</xdr:col>
                    <xdr:colOff>297180</xdr:colOff>
                    <xdr:row>19</xdr:row>
                    <xdr:rowOff>0</xdr:rowOff>
                  </to>
                </anchor>
              </controlPr>
            </control>
          </mc:Choice>
        </mc:AlternateContent>
        <mc:AlternateContent xmlns:mc="http://schemas.openxmlformats.org/markup-compatibility/2006">
          <mc:Choice Requires="x14">
            <control shapeId="1300" r:id="rId77" name="Check Box 276">
              <controlPr defaultSize="0" autoFill="0" autoLine="0" autoPict="0">
                <anchor moveWithCells="1">
                  <from>
                    <xdr:col>12</xdr:col>
                    <xdr:colOff>68580</xdr:colOff>
                    <xdr:row>18</xdr:row>
                    <xdr:rowOff>182880</xdr:rowOff>
                  </from>
                  <to>
                    <xdr:col>12</xdr:col>
                    <xdr:colOff>297180</xdr:colOff>
                    <xdr:row>20</xdr:row>
                    <xdr:rowOff>22860</xdr:rowOff>
                  </to>
                </anchor>
              </controlPr>
            </control>
          </mc:Choice>
        </mc:AlternateContent>
        <mc:AlternateContent xmlns:mc="http://schemas.openxmlformats.org/markup-compatibility/2006">
          <mc:Choice Requires="x14">
            <control shapeId="1301" r:id="rId78" name="Check Box 277">
              <controlPr defaultSize="0" autoFill="0" autoLine="0" autoPict="0">
                <anchor moveWithCells="1">
                  <from>
                    <xdr:col>12</xdr:col>
                    <xdr:colOff>68580</xdr:colOff>
                    <xdr:row>19</xdr:row>
                    <xdr:rowOff>175260</xdr:rowOff>
                  </from>
                  <to>
                    <xdr:col>12</xdr:col>
                    <xdr:colOff>297180</xdr:colOff>
                    <xdr:row>21</xdr:row>
                    <xdr:rowOff>7620</xdr:rowOff>
                  </to>
                </anchor>
              </controlPr>
            </control>
          </mc:Choice>
        </mc:AlternateContent>
        <mc:AlternateContent xmlns:mc="http://schemas.openxmlformats.org/markup-compatibility/2006">
          <mc:Choice Requires="x14">
            <control shapeId="1302" r:id="rId79" name="Check Box 278">
              <controlPr defaultSize="0" autoFill="0" autoLine="0" autoPict="0">
                <anchor moveWithCells="1">
                  <from>
                    <xdr:col>12</xdr:col>
                    <xdr:colOff>68580</xdr:colOff>
                    <xdr:row>20</xdr:row>
                    <xdr:rowOff>175260</xdr:rowOff>
                  </from>
                  <to>
                    <xdr:col>12</xdr:col>
                    <xdr:colOff>297180</xdr:colOff>
                    <xdr:row>22</xdr:row>
                    <xdr:rowOff>7620</xdr:rowOff>
                  </to>
                </anchor>
              </controlPr>
            </control>
          </mc:Choice>
        </mc:AlternateContent>
        <mc:AlternateContent xmlns:mc="http://schemas.openxmlformats.org/markup-compatibility/2006">
          <mc:Choice Requires="x14">
            <control shapeId="1303" r:id="rId80" name="Check Box 279">
              <controlPr defaultSize="0" autoFill="0" autoLine="0" autoPict="0">
                <anchor moveWithCells="1">
                  <from>
                    <xdr:col>12</xdr:col>
                    <xdr:colOff>68580</xdr:colOff>
                    <xdr:row>21</xdr:row>
                    <xdr:rowOff>175260</xdr:rowOff>
                  </from>
                  <to>
                    <xdr:col>12</xdr:col>
                    <xdr:colOff>297180</xdr:colOff>
                    <xdr:row>23</xdr:row>
                    <xdr:rowOff>7620</xdr:rowOff>
                  </to>
                </anchor>
              </controlPr>
            </control>
          </mc:Choice>
        </mc:AlternateContent>
        <mc:AlternateContent xmlns:mc="http://schemas.openxmlformats.org/markup-compatibility/2006">
          <mc:Choice Requires="x14">
            <control shapeId="1304" r:id="rId81" name="Check Box 280">
              <controlPr defaultSize="0" autoFill="0" autoLine="0" autoPict="0">
                <anchor moveWithCells="1">
                  <from>
                    <xdr:col>12</xdr:col>
                    <xdr:colOff>68580</xdr:colOff>
                    <xdr:row>22</xdr:row>
                    <xdr:rowOff>160020</xdr:rowOff>
                  </from>
                  <to>
                    <xdr:col>12</xdr:col>
                    <xdr:colOff>297180</xdr:colOff>
                    <xdr:row>24</xdr:row>
                    <xdr:rowOff>7620</xdr:rowOff>
                  </to>
                </anchor>
              </controlPr>
            </control>
          </mc:Choice>
        </mc:AlternateContent>
        <mc:AlternateContent xmlns:mc="http://schemas.openxmlformats.org/markup-compatibility/2006">
          <mc:Choice Requires="x14">
            <control shapeId="1305" r:id="rId82" name="Check Box 281">
              <controlPr defaultSize="0" autoFill="0" autoLine="0" autoPict="0">
                <anchor moveWithCells="1">
                  <from>
                    <xdr:col>12</xdr:col>
                    <xdr:colOff>76200</xdr:colOff>
                    <xdr:row>23</xdr:row>
                    <xdr:rowOff>190500</xdr:rowOff>
                  </from>
                  <to>
                    <xdr:col>12</xdr:col>
                    <xdr:colOff>297180</xdr:colOff>
                    <xdr:row>25</xdr:row>
                    <xdr:rowOff>22860</xdr:rowOff>
                  </to>
                </anchor>
              </controlPr>
            </control>
          </mc:Choice>
        </mc:AlternateContent>
        <mc:AlternateContent xmlns:mc="http://schemas.openxmlformats.org/markup-compatibility/2006">
          <mc:Choice Requires="x14">
            <control shapeId="1306" r:id="rId83" name="Check Box 282">
              <controlPr defaultSize="0" autoFill="0" autoLine="0" autoPict="0">
                <anchor moveWithCells="1">
                  <from>
                    <xdr:col>12</xdr:col>
                    <xdr:colOff>76200</xdr:colOff>
                    <xdr:row>24</xdr:row>
                    <xdr:rowOff>182880</xdr:rowOff>
                  </from>
                  <to>
                    <xdr:col>12</xdr:col>
                    <xdr:colOff>297180</xdr:colOff>
                    <xdr:row>26</xdr:row>
                    <xdr:rowOff>7620</xdr:rowOff>
                  </to>
                </anchor>
              </controlPr>
            </control>
          </mc:Choice>
        </mc:AlternateContent>
        <mc:AlternateContent xmlns:mc="http://schemas.openxmlformats.org/markup-compatibility/2006">
          <mc:Choice Requires="x14">
            <control shapeId="1307" r:id="rId84" name="Check Box 283">
              <controlPr defaultSize="0" autoFill="0" autoLine="0" autoPict="0">
                <anchor moveWithCells="1">
                  <from>
                    <xdr:col>12</xdr:col>
                    <xdr:colOff>76200</xdr:colOff>
                    <xdr:row>25</xdr:row>
                    <xdr:rowOff>175260</xdr:rowOff>
                  </from>
                  <to>
                    <xdr:col>12</xdr:col>
                    <xdr:colOff>297180</xdr:colOff>
                    <xdr:row>27</xdr:row>
                    <xdr:rowOff>7620</xdr:rowOff>
                  </to>
                </anchor>
              </controlPr>
            </control>
          </mc:Choice>
        </mc:AlternateContent>
        <mc:AlternateContent xmlns:mc="http://schemas.openxmlformats.org/markup-compatibility/2006">
          <mc:Choice Requires="x14">
            <control shapeId="1313" r:id="rId85" name="Check Box 289">
              <controlPr defaultSize="0" autoFill="0" autoLine="0" autoPict="0">
                <anchor moveWithCells="1">
                  <from>
                    <xdr:col>11</xdr:col>
                    <xdr:colOff>68580</xdr:colOff>
                    <xdr:row>38</xdr:row>
                    <xdr:rowOff>350520</xdr:rowOff>
                  </from>
                  <to>
                    <xdr:col>11</xdr:col>
                    <xdr:colOff>274320</xdr:colOff>
                    <xdr:row>40</xdr:row>
                    <xdr:rowOff>22860</xdr:rowOff>
                  </to>
                </anchor>
              </controlPr>
            </control>
          </mc:Choice>
        </mc:AlternateContent>
        <mc:AlternateContent xmlns:mc="http://schemas.openxmlformats.org/markup-compatibility/2006">
          <mc:Choice Requires="x14">
            <control shapeId="1314" r:id="rId86" name="Check Box 290">
              <controlPr defaultSize="0" autoFill="0" autoLine="0" autoPict="0">
                <anchor moveWithCells="1">
                  <from>
                    <xdr:col>11</xdr:col>
                    <xdr:colOff>68580</xdr:colOff>
                    <xdr:row>39</xdr:row>
                    <xdr:rowOff>175260</xdr:rowOff>
                  </from>
                  <to>
                    <xdr:col>11</xdr:col>
                    <xdr:colOff>274320</xdr:colOff>
                    <xdr:row>41</xdr:row>
                    <xdr:rowOff>7620</xdr:rowOff>
                  </to>
                </anchor>
              </controlPr>
            </control>
          </mc:Choice>
        </mc:AlternateContent>
        <mc:AlternateContent xmlns:mc="http://schemas.openxmlformats.org/markup-compatibility/2006">
          <mc:Choice Requires="x14">
            <control shapeId="1315" r:id="rId87" name="Check Box 291">
              <controlPr defaultSize="0" autoFill="0" autoLine="0" autoPict="0">
                <anchor moveWithCells="1">
                  <from>
                    <xdr:col>11</xdr:col>
                    <xdr:colOff>68580</xdr:colOff>
                    <xdr:row>40</xdr:row>
                    <xdr:rowOff>175260</xdr:rowOff>
                  </from>
                  <to>
                    <xdr:col>11</xdr:col>
                    <xdr:colOff>274320</xdr:colOff>
                    <xdr:row>42</xdr:row>
                    <xdr:rowOff>7620</xdr:rowOff>
                  </to>
                </anchor>
              </controlPr>
            </control>
          </mc:Choice>
        </mc:AlternateContent>
        <mc:AlternateContent xmlns:mc="http://schemas.openxmlformats.org/markup-compatibility/2006">
          <mc:Choice Requires="x14">
            <control shapeId="1316" r:id="rId88" name="Check Box 292">
              <controlPr defaultSize="0" autoFill="0" autoLine="0" autoPict="0">
                <anchor moveWithCells="1">
                  <from>
                    <xdr:col>11</xdr:col>
                    <xdr:colOff>68580</xdr:colOff>
                    <xdr:row>41</xdr:row>
                    <xdr:rowOff>175260</xdr:rowOff>
                  </from>
                  <to>
                    <xdr:col>11</xdr:col>
                    <xdr:colOff>274320</xdr:colOff>
                    <xdr:row>43</xdr:row>
                    <xdr:rowOff>7620</xdr:rowOff>
                  </to>
                </anchor>
              </controlPr>
            </control>
          </mc:Choice>
        </mc:AlternateContent>
        <mc:AlternateContent xmlns:mc="http://schemas.openxmlformats.org/markup-compatibility/2006">
          <mc:Choice Requires="x14">
            <control shapeId="1317" r:id="rId89" name="Check Box 293">
              <controlPr defaultSize="0" autoFill="0" autoLine="0" autoPict="0">
                <anchor moveWithCells="1">
                  <from>
                    <xdr:col>11</xdr:col>
                    <xdr:colOff>68580</xdr:colOff>
                    <xdr:row>42</xdr:row>
                    <xdr:rowOff>160020</xdr:rowOff>
                  </from>
                  <to>
                    <xdr:col>11</xdr:col>
                    <xdr:colOff>274320</xdr:colOff>
                    <xdr:row>44</xdr:row>
                    <xdr:rowOff>7620</xdr:rowOff>
                  </to>
                </anchor>
              </controlPr>
            </control>
          </mc:Choice>
        </mc:AlternateContent>
        <mc:AlternateContent xmlns:mc="http://schemas.openxmlformats.org/markup-compatibility/2006">
          <mc:Choice Requires="x14">
            <control shapeId="1318" r:id="rId90" name="Check Box 294">
              <controlPr defaultSize="0" autoFill="0" autoLine="0" autoPict="0">
                <anchor moveWithCells="1">
                  <from>
                    <xdr:col>12</xdr:col>
                    <xdr:colOff>68580</xdr:colOff>
                    <xdr:row>38</xdr:row>
                    <xdr:rowOff>342900</xdr:rowOff>
                  </from>
                  <to>
                    <xdr:col>12</xdr:col>
                    <xdr:colOff>289560</xdr:colOff>
                    <xdr:row>40</xdr:row>
                    <xdr:rowOff>7620</xdr:rowOff>
                  </to>
                </anchor>
              </controlPr>
            </control>
          </mc:Choice>
        </mc:AlternateContent>
        <mc:AlternateContent xmlns:mc="http://schemas.openxmlformats.org/markup-compatibility/2006">
          <mc:Choice Requires="x14">
            <control shapeId="1319" r:id="rId91" name="Check Box 295">
              <controlPr defaultSize="0" autoFill="0" autoLine="0" autoPict="0">
                <anchor moveWithCells="1">
                  <from>
                    <xdr:col>12</xdr:col>
                    <xdr:colOff>68580</xdr:colOff>
                    <xdr:row>39</xdr:row>
                    <xdr:rowOff>160020</xdr:rowOff>
                  </from>
                  <to>
                    <xdr:col>12</xdr:col>
                    <xdr:colOff>289560</xdr:colOff>
                    <xdr:row>41</xdr:row>
                    <xdr:rowOff>7620</xdr:rowOff>
                  </to>
                </anchor>
              </controlPr>
            </control>
          </mc:Choice>
        </mc:AlternateContent>
        <mc:AlternateContent xmlns:mc="http://schemas.openxmlformats.org/markup-compatibility/2006">
          <mc:Choice Requires="x14">
            <control shapeId="1320" r:id="rId92" name="Check Box 296">
              <controlPr defaultSize="0" autoFill="0" autoLine="0" autoPict="0">
                <anchor moveWithCells="1">
                  <from>
                    <xdr:col>12</xdr:col>
                    <xdr:colOff>68580</xdr:colOff>
                    <xdr:row>40</xdr:row>
                    <xdr:rowOff>160020</xdr:rowOff>
                  </from>
                  <to>
                    <xdr:col>12</xdr:col>
                    <xdr:colOff>289560</xdr:colOff>
                    <xdr:row>42</xdr:row>
                    <xdr:rowOff>7620</xdr:rowOff>
                  </to>
                </anchor>
              </controlPr>
            </control>
          </mc:Choice>
        </mc:AlternateContent>
        <mc:AlternateContent xmlns:mc="http://schemas.openxmlformats.org/markup-compatibility/2006">
          <mc:Choice Requires="x14">
            <control shapeId="1321" r:id="rId93" name="Check Box 297">
              <controlPr defaultSize="0" autoFill="0" autoLine="0" autoPict="0">
                <anchor moveWithCells="1">
                  <from>
                    <xdr:col>12</xdr:col>
                    <xdr:colOff>68580</xdr:colOff>
                    <xdr:row>41</xdr:row>
                    <xdr:rowOff>160020</xdr:rowOff>
                  </from>
                  <to>
                    <xdr:col>12</xdr:col>
                    <xdr:colOff>289560</xdr:colOff>
                    <xdr:row>43</xdr:row>
                    <xdr:rowOff>0</xdr:rowOff>
                  </to>
                </anchor>
              </controlPr>
            </control>
          </mc:Choice>
        </mc:AlternateContent>
        <mc:AlternateContent xmlns:mc="http://schemas.openxmlformats.org/markup-compatibility/2006">
          <mc:Choice Requires="x14">
            <control shapeId="1322" r:id="rId94" name="Check Box 298">
              <controlPr defaultSize="0" autoFill="0" autoLine="0" autoPict="0">
                <anchor moveWithCells="1">
                  <from>
                    <xdr:col>12</xdr:col>
                    <xdr:colOff>68580</xdr:colOff>
                    <xdr:row>42</xdr:row>
                    <xdr:rowOff>160020</xdr:rowOff>
                  </from>
                  <to>
                    <xdr:col>12</xdr:col>
                    <xdr:colOff>289560</xdr:colOff>
                    <xdr:row>44</xdr:row>
                    <xdr:rowOff>0</xdr:rowOff>
                  </to>
                </anchor>
              </controlPr>
            </control>
          </mc:Choice>
        </mc:AlternateContent>
        <mc:AlternateContent xmlns:mc="http://schemas.openxmlformats.org/markup-compatibility/2006">
          <mc:Choice Requires="x14">
            <control shapeId="1323" r:id="rId95" name="Check Box 299">
              <controlPr defaultSize="0" autoFill="0" autoLine="0" autoPict="0">
                <anchor moveWithCells="1">
                  <from>
                    <xdr:col>11</xdr:col>
                    <xdr:colOff>76200</xdr:colOff>
                    <xdr:row>43</xdr:row>
                    <xdr:rowOff>182880</xdr:rowOff>
                  </from>
                  <to>
                    <xdr:col>11</xdr:col>
                    <xdr:colOff>297180</xdr:colOff>
                    <xdr:row>45</xdr:row>
                    <xdr:rowOff>22860</xdr:rowOff>
                  </to>
                </anchor>
              </controlPr>
            </control>
          </mc:Choice>
        </mc:AlternateContent>
        <mc:AlternateContent xmlns:mc="http://schemas.openxmlformats.org/markup-compatibility/2006">
          <mc:Choice Requires="x14">
            <control shapeId="1324" r:id="rId96" name="Check Box 300">
              <controlPr defaultSize="0" autoFill="0" autoLine="0" autoPict="0">
                <anchor moveWithCells="1">
                  <from>
                    <xdr:col>11</xdr:col>
                    <xdr:colOff>76200</xdr:colOff>
                    <xdr:row>44</xdr:row>
                    <xdr:rowOff>175260</xdr:rowOff>
                  </from>
                  <to>
                    <xdr:col>11</xdr:col>
                    <xdr:colOff>297180</xdr:colOff>
                    <xdr:row>46</xdr:row>
                    <xdr:rowOff>7620</xdr:rowOff>
                  </to>
                </anchor>
              </controlPr>
            </control>
          </mc:Choice>
        </mc:AlternateContent>
        <mc:AlternateContent xmlns:mc="http://schemas.openxmlformats.org/markup-compatibility/2006">
          <mc:Choice Requires="x14">
            <control shapeId="1325" r:id="rId97" name="Check Box 301">
              <controlPr defaultSize="0" autoFill="0" autoLine="0" autoPict="0">
                <anchor moveWithCells="1">
                  <from>
                    <xdr:col>11</xdr:col>
                    <xdr:colOff>76200</xdr:colOff>
                    <xdr:row>45</xdr:row>
                    <xdr:rowOff>175260</xdr:rowOff>
                  </from>
                  <to>
                    <xdr:col>11</xdr:col>
                    <xdr:colOff>297180</xdr:colOff>
                    <xdr:row>47</xdr:row>
                    <xdr:rowOff>7620</xdr:rowOff>
                  </to>
                </anchor>
              </controlPr>
            </control>
          </mc:Choice>
        </mc:AlternateContent>
        <mc:AlternateContent xmlns:mc="http://schemas.openxmlformats.org/markup-compatibility/2006">
          <mc:Choice Requires="x14">
            <control shapeId="1326" r:id="rId98" name="Check Box 302">
              <controlPr defaultSize="0" autoFill="0" autoLine="0" autoPict="0">
                <anchor moveWithCells="1">
                  <from>
                    <xdr:col>11</xdr:col>
                    <xdr:colOff>76200</xdr:colOff>
                    <xdr:row>46</xdr:row>
                    <xdr:rowOff>175260</xdr:rowOff>
                  </from>
                  <to>
                    <xdr:col>11</xdr:col>
                    <xdr:colOff>297180</xdr:colOff>
                    <xdr:row>48</xdr:row>
                    <xdr:rowOff>7620</xdr:rowOff>
                  </to>
                </anchor>
              </controlPr>
            </control>
          </mc:Choice>
        </mc:AlternateContent>
        <mc:AlternateContent xmlns:mc="http://schemas.openxmlformats.org/markup-compatibility/2006">
          <mc:Choice Requires="x14">
            <control shapeId="1327" r:id="rId99" name="Check Box 303">
              <controlPr defaultSize="0" autoFill="0" autoLine="0" autoPict="0">
                <anchor moveWithCells="1">
                  <from>
                    <xdr:col>11</xdr:col>
                    <xdr:colOff>76200</xdr:colOff>
                    <xdr:row>47</xdr:row>
                    <xdr:rowOff>160020</xdr:rowOff>
                  </from>
                  <to>
                    <xdr:col>11</xdr:col>
                    <xdr:colOff>297180</xdr:colOff>
                    <xdr:row>49</xdr:row>
                    <xdr:rowOff>7620</xdr:rowOff>
                  </to>
                </anchor>
              </controlPr>
            </control>
          </mc:Choice>
        </mc:AlternateContent>
        <mc:AlternateContent xmlns:mc="http://schemas.openxmlformats.org/markup-compatibility/2006">
          <mc:Choice Requires="x14">
            <control shapeId="1328" r:id="rId100" name="Check Box 304">
              <controlPr defaultSize="0" autoFill="0" autoLine="0" autoPict="0">
                <anchor moveWithCells="1">
                  <from>
                    <xdr:col>12</xdr:col>
                    <xdr:colOff>76200</xdr:colOff>
                    <xdr:row>43</xdr:row>
                    <xdr:rowOff>182880</xdr:rowOff>
                  </from>
                  <to>
                    <xdr:col>12</xdr:col>
                    <xdr:colOff>297180</xdr:colOff>
                    <xdr:row>45</xdr:row>
                    <xdr:rowOff>22860</xdr:rowOff>
                  </to>
                </anchor>
              </controlPr>
            </control>
          </mc:Choice>
        </mc:AlternateContent>
        <mc:AlternateContent xmlns:mc="http://schemas.openxmlformats.org/markup-compatibility/2006">
          <mc:Choice Requires="x14">
            <control shapeId="1329" r:id="rId101" name="Check Box 305">
              <controlPr defaultSize="0" autoFill="0" autoLine="0" autoPict="0">
                <anchor moveWithCells="1">
                  <from>
                    <xdr:col>12</xdr:col>
                    <xdr:colOff>76200</xdr:colOff>
                    <xdr:row>44</xdr:row>
                    <xdr:rowOff>175260</xdr:rowOff>
                  </from>
                  <to>
                    <xdr:col>12</xdr:col>
                    <xdr:colOff>297180</xdr:colOff>
                    <xdr:row>46</xdr:row>
                    <xdr:rowOff>7620</xdr:rowOff>
                  </to>
                </anchor>
              </controlPr>
            </control>
          </mc:Choice>
        </mc:AlternateContent>
        <mc:AlternateContent xmlns:mc="http://schemas.openxmlformats.org/markup-compatibility/2006">
          <mc:Choice Requires="x14">
            <control shapeId="1330" r:id="rId102" name="Check Box 306">
              <controlPr defaultSize="0" autoFill="0" autoLine="0" autoPict="0">
                <anchor moveWithCells="1">
                  <from>
                    <xdr:col>12</xdr:col>
                    <xdr:colOff>76200</xdr:colOff>
                    <xdr:row>45</xdr:row>
                    <xdr:rowOff>175260</xdr:rowOff>
                  </from>
                  <to>
                    <xdr:col>12</xdr:col>
                    <xdr:colOff>297180</xdr:colOff>
                    <xdr:row>47</xdr:row>
                    <xdr:rowOff>7620</xdr:rowOff>
                  </to>
                </anchor>
              </controlPr>
            </control>
          </mc:Choice>
        </mc:AlternateContent>
        <mc:AlternateContent xmlns:mc="http://schemas.openxmlformats.org/markup-compatibility/2006">
          <mc:Choice Requires="x14">
            <control shapeId="1331" r:id="rId103" name="Check Box 307">
              <controlPr defaultSize="0" autoFill="0" autoLine="0" autoPict="0">
                <anchor moveWithCells="1">
                  <from>
                    <xdr:col>12</xdr:col>
                    <xdr:colOff>76200</xdr:colOff>
                    <xdr:row>46</xdr:row>
                    <xdr:rowOff>175260</xdr:rowOff>
                  </from>
                  <to>
                    <xdr:col>12</xdr:col>
                    <xdr:colOff>297180</xdr:colOff>
                    <xdr:row>48</xdr:row>
                    <xdr:rowOff>7620</xdr:rowOff>
                  </to>
                </anchor>
              </controlPr>
            </control>
          </mc:Choice>
        </mc:AlternateContent>
        <mc:AlternateContent xmlns:mc="http://schemas.openxmlformats.org/markup-compatibility/2006">
          <mc:Choice Requires="x14">
            <control shapeId="1332" r:id="rId104" name="Check Box 308">
              <controlPr defaultSize="0" autoFill="0" autoLine="0" autoPict="0">
                <anchor moveWithCells="1">
                  <from>
                    <xdr:col>12</xdr:col>
                    <xdr:colOff>76200</xdr:colOff>
                    <xdr:row>47</xdr:row>
                    <xdr:rowOff>160020</xdr:rowOff>
                  </from>
                  <to>
                    <xdr:col>12</xdr:col>
                    <xdr:colOff>297180</xdr:colOff>
                    <xdr:row>49</xdr:row>
                    <xdr:rowOff>7620</xdr:rowOff>
                  </to>
                </anchor>
              </controlPr>
            </control>
          </mc:Choice>
        </mc:AlternateContent>
        <mc:AlternateContent xmlns:mc="http://schemas.openxmlformats.org/markup-compatibility/2006">
          <mc:Choice Requires="x14">
            <control shapeId="1333" r:id="rId105" name="Check Box 309">
              <controlPr defaultSize="0" autoFill="0" autoLine="0" autoPict="0">
                <anchor moveWithCells="1">
                  <from>
                    <xdr:col>11</xdr:col>
                    <xdr:colOff>76200</xdr:colOff>
                    <xdr:row>48</xdr:row>
                    <xdr:rowOff>182880</xdr:rowOff>
                  </from>
                  <to>
                    <xdr:col>11</xdr:col>
                    <xdr:colOff>297180</xdr:colOff>
                    <xdr:row>50</xdr:row>
                    <xdr:rowOff>7620</xdr:rowOff>
                  </to>
                </anchor>
              </controlPr>
            </control>
          </mc:Choice>
        </mc:AlternateContent>
        <mc:AlternateContent xmlns:mc="http://schemas.openxmlformats.org/markup-compatibility/2006">
          <mc:Choice Requires="x14">
            <control shapeId="1334" r:id="rId106" name="Check Box 310">
              <controlPr defaultSize="0" autoFill="0" autoLine="0" autoPict="0">
                <anchor moveWithCells="1">
                  <from>
                    <xdr:col>11</xdr:col>
                    <xdr:colOff>76200</xdr:colOff>
                    <xdr:row>49</xdr:row>
                    <xdr:rowOff>175260</xdr:rowOff>
                  </from>
                  <to>
                    <xdr:col>11</xdr:col>
                    <xdr:colOff>297180</xdr:colOff>
                    <xdr:row>51</xdr:row>
                    <xdr:rowOff>7620</xdr:rowOff>
                  </to>
                </anchor>
              </controlPr>
            </control>
          </mc:Choice>
        </mc:AlternateContent>
        <mc:AlternateContent xmlns:mc="http://schemas.openxmlformats.org/markup-compatibility/2006">
          <mc:Choice Requires="x14">
            <control shapeId="1335" r:id="rId107" name="Check Box 311">
              <controlPr defaultSize="0" autoFill="0" autoLine="0" autoPict="0">
                <anchor moveWithCells="1">
                  <from>
                    <xdr:col>12</xdr:col>
                    <xdr:colOff>76200</xdr:colOff>
                    <xdr:row>48</xdr:row>
                    <xdr:rowOff>182880</xdr:rowOff>
                  </from>
                  <to>
                    <xdr:col>12</xdr:col>
                    <xdr:colOff>297180</xdr:colOff>
                    <xdr:row>50</xdr:row>
                    <xdr:rowOff>7620</xdr:rowOff>
                  </to>
                </anchor>
              </controlPr>
            </control>
          </mc:Choice>
        </mc:AlternateContent>
        <mc:AlternateContent xmlns:mc="http://schemas.openxmlformats.org/markup-compatibility/2006">
          <mc:Choice Requires="x14">
            <control shapeId="1336" r:id="rId108" name="Check Box 312">
              <controlPr defaultSize="0" autoFill="0" autoLine="0" autoPict="0">
                <anchor moveWithCells="1">
                  <from>
                    <xdr:col>12</xdr:col>
                    <xdr:colOff>76200</xdr:colOff>
                    <xdr:row>49</xdr:row>
                    <xdr:rowOff>175260</xdr:rowOff>
                  </from>
                  <to>
                    <xdr:col>12</xdr:col>
                    <xdr:colOff>297180</xdr:colOff>
                    <xdr:row>51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37BB0D1A-72E5-47F8-A55C-C680791FA826}">
          <x14:formula1>
            <xm:f>INPUT_DATA!$A$2:$A$6</xm:f>
          </x14:formula1>
          <xm:sqref>F1</xm:sqref>
        </x14:dataValidation>
        <x14:dataValidation type="list" allowBlank="1" showInputMessage="1" showErrorMessage="1" xr:uid="{A3E2A955-07C8-46B6-8D67-648433272CDB}">
          <x14:formula1>
            <xm:f>INPUT_DATA!$A$6</xm:f>
          </x14:formula1>
          <xm:sqref>L40:M51</xm:sqref>
        </x14:dataValidation>
        <x14:dataValidation type="list" errorStyle="warning" allowBlank="1" showInputMessage="1" showErrorMessage="1" errorTitle="Unknown pilot" error="Check the INPUT_DATA hidden sheet and update the list of pilots." xr:uid="{A62CB5C6-97FC-44D2-A172-9D094105BA8D}">
          <x14:formula1>
            <xm:f>INPUT_DATA!$A$9:$A$44</xm:f>
          </x14:formula1>
          <xm:sqref>B40:B51</xm:sqref>
        </x14:dataValidation>
        <x14:dataValidation type="list" allowBlank="1" showInputMessage="1" showErrorMessage="1" xr:uid="{8997CB53-2E23-4B6E-BE63-0928008B07B8}">
          <x14:formula1>
            <xm:f>INPUT_DATA!$B$9:$B$44</xm:f>
          </x14:formula1>
          <xm:sqref>T5:T27 T40:T51</xm:sqref>
        </x14:dataValidation>
        <x14:dataValidation type="list" showInputMessage="1" showErrorMessage="1" xr:uid="{36FD6694-CD7A-4FA9-94EF-26058EF424F7}">
          <x14:formula1>
            <xm:f>INPUT_DATA!$C$9:$C$16</xm:f>
          </x14:formula1>
          <xm:sqref>D40:D51 D5:D27</xm:sqref>
        </x14:dataValidation>
        <x14:dataValidation type="list" errorStyle="warning" allowBlank="1" showInputMessage="1" showErrorMessage="1" errorTitle="Unknown pilot" error="Check the INPUT_DATA hidden sheet and update the list of pilots." xr:uid="{91A680E2-415E-497E-B1D1-56BCA40C29FE}">
          <x14:formula1>
            <xm:f>INPUT_DATA!$A$9:$A$76</xm:f>
          </x14:formula1>
          <xm:sqref>B5:B27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AAED8-91B9-4022-AC1A-0935339205A9}">
  <dimension ref="A1:B13"/>
  <sheetViews>
    <sheetView workbookViewId="0">
      <selection activeCell="B16" sqref="B16"/>
    </sheetView>
  </sheetViews>
  <sheetFormatPr defaultRowHeight="14.4" x14ac:dyDescent="0.3"/>
  <cols>
    <col min="1" max="1" width="3" bestFit="1" customWidth="1"/>
    <col min="2" max="2" width="120" style="126" customWidth="1"/>
  </cols>
  <sheetData>
    <row r="1" spans="1:2" ht="18" x14ac:dyDescent="0.35">
      <c r="A1" s="223" t="s">
        <v>127</v>
      </c>
      <c r="B1" s="223"/>
    </row>
    <row r="2" spans="1:2" s="137" customFormat="1" ht="28.8" x14ac:dyDescent="0.3">
      <c r="A2" s="138">
        <v>1</v>
      </c>
      <c r="B2" s="150" t="s">
        <v>124</v>
      </c>
    </row>
    <row r="3" spans="1:2" x14ac:dyDescent="0.3">
      <c r="A3" s="138">
        <v>2</v>
      </c>
      <c r="B3" s="159" t="s">
        <v>0</v>
      </c>
    </row>
    <row r="4" spans="1:2" x14ac:dyDescent="0.3">
      <c r="A4" s="138">
        <v>3</v>
      </c>
      <c r="B4" s="159" t="s">
        <v>125</v>
      </c>
    </row>
    <row r="5" spans="1:2" ht="28.8" x14ac:dyDescent="0.3">
      <c r="A5" s="138">
        <v>4</v>
      </c>
      <c r="B5" s="159" t="s">
        <v>1</v>
      </c>
    </row>
    <row r="6" spans="1:2" x14ac:dyDescent="0.3">
      <c r="A6" s="138">
        <v>5</v>
      </c>
      <c r="B6" s="162" t="s">
        <v>126</v>
      </c>
    </row>
    <row r="7" spans="1:2" x14ac:dyDescent="0.3">
      <c r="A7" s="138"/>
    </row>
    <row r="8" spans="1:2" x14ac:dyDescent="0.3">
      <c r="A8" s="138"/>
      <c r="B8" s="160"/>
    </row>
    <row r="9" spans="1:2" x14ac:dyDescent="0.3">
      <c r="A9" s="138"/>
    </row>
    <row r="10" spans="1:2" s="137" customFormat="1" x14ac:dyDescent="0.3">
      <c r="A10" s="138"/>
      <c r="B10" s="126" t="s">
        <v>128</v>
      </c>
    </row>
    <row r="11" spans="1:2" x14ac:dyDescent="0.3">
      <c r="A11" s="138"/>
      <c r="B11" s="159"/>
    </row>
    <row r="12" spans="1:2" x14ac:dyDescent="0.3">
      <c r="A12" s="138"/>
    </row>
    <row r="13" spans="1:2" x14ac:dyDescent="0.3">
      <c r="A13" s="137"/>
      <c r="B13" s="161"/>
    </row>
  </sheetData>
  <mergeCells count="1">
    <mergeCell ref="A1:B1"/>
  </mergeCells>
  <hyperlinks>
    <hyperlink ref="B5" r:id="rId1" display="At the end of the day, ensure this file is saved to &quot;661 VGS Sharepoint &gt; 661 VGS Documents &gt; Log Sheets&quot; or emailed to the stats/GUR individual:                          " xr:uid="{F847CD77-3267-41AB-9AE5-6F97EDAF4C18}"/>
    <hyperlink ref="B3" location="'2965D'!F1" display="Enter aircraft number and date along the top" xr:uid="{F44E4E9D-039B-427D-B169-A585F8CFE7F6}"/>
    <hyperlink ref="B4" location="'2965D'!I56" display="Add launches and hours before flight from the F724." xr:uid="{50D605C2-5851-4386-98C6-26E7DA3BE225}"/>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0D8A6-F505-432A-B8CF-3520177AB38F}">
  <dimension ref="A1:D7"/>
  <sheetViews>
    <sheetView workbookViewId="0">
      <selection activeCell="D8" sqref="D8"/>
    </sheetView>
  </sheetViews>
  <sheetFormatPr defaultColWidth="9.109375" defaultRowHeight="14.4" x14ac:dyDescent="0.3"/>
  <cols>
    <col min="1" max="1" width="8.33203125" style="148" bestFit="1" customWidth="1"/>
    <col min="2" max="2" width="11.44140625" style="142" bestFit="1" customWidth="1"/>
    <col min="3" max="3" width="8.6640625" style="142" bestFit="1" customWidth="1"/>
    <col min="4" max="4" width="148.33203125" style="142" customWidth="1"/>
    <col min="5" max="16384" width="9.109375" style="142"/>
  </cols>
  <sheetData>
    <row r="1" spans="1:4" s="146" customFormat="1" ht="15.6" x14ac:dyDescent="0.3">
      <c r="A1" s="147" t="s">
        <v>45</v>
      </c>
      <c r="B1" s="145" t="s">
        <v>5</v>
      </c>
      <c r="C1" s="145" t="s">
        <v>46</v>
      </c>
      <c r="D1" s="145" t="s">
        <v>47</v>
      </c>
    </row>
    <row r="2" spans="1:4" ht="57.6" x14ac:dyDescent="0.3">
      <c r="A2" s="148" t="s">
        <v>48</v>
      </c>
      <c r="B2" s="143">
        <v>45027</v>
      </c>
      <c r="C2" s="142" t="s">
        <v>49</v>
      </c>
      <c r="D2" s="144" t="s">
        <v>50</v>
      </c>
    </row>
    <row r="3" spans="1:4" x14ac:dyDescent="0.3">
      <c r="A3" s="148" t="s">
        <v>51</v>
      </c>
      <c r="B3" s="143">
        <v>45030</v>
      </c>
      <c r="C3" s="142" t="s">
        <v>49</v>
      </c>
      <c r="D3" s="142" t="s">
        <v>52</v>
      </c>
    </row>
    <row r="4" spans="1:4" x14ac:dyDescent="0.3">
      <c r="A4" s="148" t="s">
        <v>53</v>
      </c>
      <c r="B4" s="143">
        <v>45074</v>
      </c>
      <c r="C4" s="142" t="s">
        <v>49</v>
      </c>
      <c r="D4" s="142" t="s">
        <v>54</v>
      </c>
    </row>
    <row r="5" spans="1:4" ht="86.4" x14ac:dyDescent="0.3">
      <c r="A5" s="148" t="s">
        <v>55</v>
      </c>
      <c r="B5" s="143">
        <v>45088</v>
      </c>
      <c r="C5" s="142" t="s">
        <v>56</v>
      </c>
      <c r="D5" s="144" t="s">
        <v>57</v>
      </c>
    </row>
    <row r="6" spans="1:4" x14ac:dyDescent="0.3">
      <c r="A6" s="148" t="s">
        <v>58</v>
      </c>
      <c r="B6" s="143">
        <v>45101</v>
      </c>
      <c r="C6" s="142" t="s">
        <v>56</v>
      </c>
      <c r="D6" s="142" t="s">
        <v>59</v>
      </c>
    </row>
    <row r="7" spans="1:4" ht="57.6" x14ac:dyDescent="0.3">
      <c r="A7" s="148" t="s">
        <v>121</v>
      </c>
      <c r="B7" s="143">
        <v>45136</v>
      </c>
      <c r="C7" s="142" t="s">
        <v>49</v>
      </c>
      <c r="D7" s="144" t="s">
        <v>129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7542E-8DB5-4960-87F2-F2A36C2E1219}">
  <dimension ref="A1:C47"/>
  <sheetViews>
    <sheetView workbookViewId="0">
      <selection activeCell="D16" sqref="D16"/>
    </sheetView>
  </sheetViews>
  <sheetFormatPr defaultRowHeight="14.4" x14ac:dyDescent="0.3"/>
  <cols>
    <col min="1" max="1" width="11.44140625" bestFit="1" customWidth="1"/>
    <col min="2" max="2" width="12.109375" bestFit="1" customWidth="1"/>
    <col min="3" max="3" width="5.109375" bestFit="1" customWidth="1"/>
    <col min="4" max="4" width="16.44140625" bestFit="1" customWidth="1"/>
    <col min="5" max="5" width="13.5546875" bestFit="1" customWidth="1"/>
  </cols>
  <sheetData>
    <row r="1" spans="1:3" x14ac:dyDescent="0.3">
      <c r="A1" t="s">
        <v>60</v>
      </c>
      <c r="B1" t="s">
        <v>61</v>
      </c>
    </row>
    <row r="2" spans="1:3" x14ac:dyDescent="0.3">
      <c r="A2" t="s">
        <v>62</v>
      </c>
      <c r="B2" t="s">
        <v>63</v>
      </c>
    </row>
    <row r="3" spans="1:3" x14ac:dyDescent="0.3">
      <c r="A3" t="s">
        <v>64</v>
      </c>
      <c r="B3" t="s">
        <v>65</v>
      </c>
    </row>
    <row r="4" spans="1:3" x14ac:dyDescent="0.3">
      <c r="A4" t="s">
        <v>66</v>
      </c>
      <c r="B4" t="s">
        <v>67</v>
      </c>
    </row>
    <row r="5" spans="1:3" x14ac:dyDescent="0.3">
      <c r="A5" t="s">
        <v>68</v>
      </c>
      <c r="B5" t="s">
        <v>69</v>
      </c>
    </row>
    <row r="6" spans="1:3" x14ac:dyDescent="0.3">
      <c r="A6" t="s">
        <v>70</v>
      </c>
      <c r="B6" t="s">
        <v>71</v>
      </c>
    </row>
    <row r="8" spans="1:3" x14ac:dyDescent="0.3">
      <c r="A8" s="137" t="s">
        <v>72</v>
      </c>
      <c r="C8" s="137" t="s">
        <v>22</v>
      </c>
    </row>
    <row r="9" spans="1:3" x14ac:dyDescent="0.3">
      <c r="A9" t="s">
        <v>73</v>
      </c>
      <c r="C9" t="s">
        <v>15</v>
      </c>
    </row>
    <row r="10" spans="1:3" x14ac:dyDescent="0.3">
      <c r="A10" t="s">
        <v>74</v>
      </c>
      <c r="C10" t="s">
        <v>122</v>
      </c>
    </row>
    <row r="11" spans="1:3" x14ac:dyDescent="0.3">
      <c r="A11" t="s">
        <v>75</v>
      </c>
      <c r="C11" t="s">
        <v>123</v>
      </c>
    </row>
    <row r="12" spans="1:3" x14ac:dyDescent="0.3">
      <c r="A12" t="s">
        <v>76</v>
      </c>
      <c r="C12" t="s">
        <v>77</v>
      </c>
    </row>
    <row r="13" spans="1:3" x14ac:dyDescent="0.3">
      <c r="A13" t="s">
        <v>78</v>
      </c>
      <c r="C13" t="s">
        <v>79</v>
      </c>
    </row>
    <row r="14" spans="1:3" x14ac:dyDescent="0.3">
      <c r="A14" t="s">
        <v>80</v>
      </c>
      <c r="C14" t="s">
        <v>81</v>
      </c>
    </row>
    <row r="15" spans="1:3" x14ac:dyDescent="0.3">
      <c r="A15" t="s">
        <v>82</v>
      </c>
    </row>
    <row r="16" spans="1:3" x14ac:dyDescent="0.3">
      <c r="A16" t="s">
        <v>83</v>
      </c>
    </row>
    <row r="17" spans="1:1" x14ac:dyDescent="0.3">
      <c r="A17" t="s">
        <v>84</v>
      </c>
    </row>
    <row r="18" spans="1:1" x14ac:dyDescent="0.3">
      <c r="A18" t="s">
        <v>85</v>
      </c>
    </row>
    <row r="19" spans="1:1" x14ac:dyDescent="0.3">
      <c r="A19" t="s">
        <v>86</v>
      </c>
    </row>
    <row r="20" spans="1:1" x14ac:dyDescent="0.3">
      <c r="A20" t="s">
        <v>87</v>
      </c>
    </row>
    <row r="21" spans="1:1" x14ac:dyDescent="0.3">
      <c r="A21" t="s">
        <v>88</v>
      </c>
    </row>
    <row r="22" spans="1:1" x14ac:dyDescent="0.3">
      <c r="A22" t="s">
        <v>89</v>
      </c>
    </row>
    <row r="23" spans="1:1" x14ac:dyDescent="0.3">
      <c r="A23" t="s">
        <v>90</v>
      </c>
    </row>
    <row r="24" spans="1:1" x14ac:dyDescent="0.3">
      <c r="A24" t="s">
        <v>91</v>
      </c>
    </row>
    <row r="25" spans="1:1" x14ac:dyDescent="0.3">
      <c r="A25" t="s">
        <v>92</v>
      </c>
    </row>
    <row r="26" spans="1:1" x14ac:dyDescent="0.3">
      <c r="A26" t="s">
        <v>93</v>
      </c>
    </row>
    <row r="27" spans="1:1" x14ac:dyDescent="0.3">
      <c r="A27" t="s">
        <v>94</v>
      </c>
    </row>
    <row r="28" spans="1:1" x14ac:dyDescent="0.3">
      <c r="A28" t="s">
        <v>95</v>
      </c>
    </row>
    <row r="29" spans="1:1" x14ac:dyDescent="0.3">
      <c r="A29" t="s">
        <v>96</v>
      </c>
    </row>
    <row r="30" spans="1:1" x14ac:dyDescent="0.3">
      <c r="A30" t="s">
        <v>97</v>
      </c>
    </row>
    <row r="31" spans="1:1" x14ac:dyDescent="0.3">
      <c r="A31" t="s">
        <v>98</v>
      </c>
    </row>
    <row r="32" spans="1:1" x14ac:dyDescent="0.3">
      <c r="A32" t="s">
        <v>99</v>
      </c>
    </row>
    <row r="33" spans="1:1" x14ac:dyDescent="0.3">
      <c r="A33" t="s">
        <v>100</v>
      </c>
    </row>
    <row r="34" spans="1:1" x14ac:dyDescent="0.3">
      <c r="A34" t="s">
        <v>101</v>
      </c>
    </row>
    <row r="35" spans="1:1" x14ac:dyDescent="0.3">
      <c r="A35" t="s">
        <v>102</v>
      </c>
    </row>
    <row r="36" spans="1:1" x14ac:dyDescent="0.3">
      <c r="A36" t="s">
        <v>103</v>
      </c>
    </row>
    <row r="37" spans="1:1" x14ac:dyDescent="0.3">
      <c r="A37" t="s">
        <v>104</v>
      </c>
    </row>
    <row r="38" spans="1:1" x14ac:dyDescent="0.3">
      <c r="A38" t="s">
        <v>105</v>
      </c>
    </row>
    <row r="39" spans="1:1" x14ac:dyDescent="0.3">
      <c r="A39" t="s">
        <v>106</v>
      </c>
    </row>
    <row r="40" spans="1:1" x14ac:dyDescent="0.3">
      <c r="A40" t="s">
        <v>107</v>
      </c>
    </row>
    <row r="41" spans="1:1" x14ac:dyDescent="0.3">
      <c r="A41" t="s">
        <v>108</v>
      </c>
    </row>
    <row r="42" spans="1:1" x14ac:dyDescent="0.3">
      <c r="A42" t="s">
        <v>109</v>
      </c>
    </row>
    <row r="43" spans="1:1" x14ac:dyDescent="0.3">
      <c r="A43" t="s">
        <v>110</v>
      </c>
    </row>
    <row r="44" spans="1:1" x14ac:dyDescent="0.3">
      <c r="A44" t="s">
        <v>111</v>
      </c>
    </row>
    <row r="45" spans="1:1" x14ac:dyDescent="0.3">
      <c r="A45" t="s">
        <v>112</v>
      </c>
    </row>
    <row r="46" spans="1:1" x14ac:dyDescent="0.3">
      <c r="A46" t="s">
        <v>113</v>
      </c>
    </row>
    <row r="47" spans="1:1" x14ac:dyDescent="0.3">
      <c r="A47" t="s">
        <v>114</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8793F-984F-49CF-B59B-2E7FC129B832}">
  <dimension ref="A1:L36"/>
  <sheetViews>
    <sheetView workbookViewId="0">
      <selection activeCell="L39" sqref="L39"/>
    </sheetView>
  </sheetViews>
  <sheetFormatPr defaultRowHeight="14.4" x14ac:dyDescent="0.3"/>
  <cols>
    <col min="1" max="1" width="21" style="123" customWidth="1"/>
    <col min="2" max="2" width="16.88671875" style="123" customWidth="1"/>
    <col min="3" max="3" width="9.109375" style="123"/>
    <col min="4" max="4" width="15.6640625" style="109" bestFit="1" customWidth="1"/>
    <col min="5" max="5" width="15" style="109" customWidth="1"/>
    <col min="6" max="6" width="13.109375" style="122" bestFit="1" customWidth="1"/>
    <col min="7" max="7" width="9.109375" style="122"/>
    <col min="8" max="9" width="9.109375" style="123"/>
    <col min="10" max="10" width="10.6640625" style="128" bestFit="1" customWidth="1"/>
  </cols>
  <sheetData>
    <row r="1" spans="1:12" s="126" customFormat="1" x14ac:dyDescent="0.3">
      <c r="A1" s="130" t="s">
        <v>115</v>
      </c>
      <c r="B1" s="130" t="s">
        <v>116</v>
      </c>
      <c r="C1" s="130" t="s">
        <v>22</v>
      </c>
      <c r="D1" s="127" t="s">
        <v>117</v>
      </c>
      <c r="E1" s="124" t="s">
        <v>118</v>
      </c>
      <c r="F1" s="125" t="s">
        <v>119</v>
      </c>
      <c r="G1" s="125" t="s">
        <v>11</v>
      </c>
      <c r="H1" s="130" t="s">
        <v>13</v>
      </c>
      <c r="I1" s="130" t="s">
        <v>120</v>
      </c>
      <c r="J1" s="129" t="s">
        <v>5</v>
      </c>
      <c r="K1" s="150" t="s">
        <v>30</v>
      </c>
      <c r="L1" s="150" t="s">
        <v>31</v>
      </c>
    </row>
    <row r="2" spans="1:12" x14ac:dyDescent="0.3">
      <c r="A2" s="123">
        <f>'2965D'!B5</f>
        <v>0</v>
      </c>
      <c r="B2" s="123">
        <f>'2965D'!C5</f>
        <v>0</v>
      </c>
      <c r="C2" s="123">
        <f>'2965D'!D5</f>
        <v>0</v>
      </c>
      <c r="D2" s="109">
        <f>'2965D'!E5+Formatted[[#This Row],[Date]]</f>
        <v>0</v>
      </c>
      <c r="E2" s="109">
        <f>'2965D'!F5+Formatted[[#This Row],[Date]]</f>
        <v>0</v>
      </c>
      <c r="F2" s="122">
        <f>ROUND((Formatted[[#This Row],[LandingTime]]-Formatted[[#This Row],[TakeOffTime]]) * 1440, 0)</f>
        <v>0</v>
      </c>
      <c r="G2" s="122" t="str">
        <f>'2965D'!O5</f>
        <v/>
      </c>
      <c r="H2" s="123" t="b">
        <v>0</v>
      </c>
      <c r="I2" s="123">
        <f>'2965D'!$F$1</f>
        <v>0</v>
      </c>
      <c r="J2" s="128">
        <f>'2965D'!$O$1</f>
        <v>0</v>
      </c>
      <c r="K2" t="b">
        <v>0</v>
      </c>
      <c r="L2" t="b">
        <v>0</v>
      </c>
    </row>
    <row r="3" spans="1:12" x14ac:dyDescent="0.3">
      <c r="A3" s="123">
        <f>'2965D'!B6</f>
        <v>0</v>
      </c>
      <c r="B3" s="123">
        <f>'2965D'!C6</f>
        <v>0</v>
      </c>
      <c r="C3" s="123">
        <f>'2965D'!D6</f>
        <v>0</v>
      </c>
      <c r="D3" s="109">
        <f>'2965D'!E6+Formatted[[#This Row],[Date]]</f>
        <v>0</v>
      </c>
      <c r="E3" s="109">
        <f>'2965D'!F6+Formatted[[#This Row],[Date]]</f>
        <v>0</v>
      </c>
      <c r="F3" s="122">
        <f>ROUND((Formatted[[#This Row],[LandingTime]]-Formatted[[#This Row],[TakeOffTime]]) * 1440, 0)</f>
        <v>0</v>
      </c>
      <c r="G3" s="122" t="str">
        <f>'2965D'!O6</f>
        <v/>
      </c>
      <c r="H3" s="123" t="b">
        <v>0</v>
      </c>
      <c r="I3" s="123">
        <f>'2965D'!$F$1</f>
        <v>0</v>
      </c>
      <c r="J3" s="128">
        <f>'2965D'!$O$1</f>
        <v>0</v>
      </c>
      <c r="K3" t="b">
        <v>0</v>
      </c>
      <c r="L3" t="b">
        <v>0</v>
      </c>
    </row>
    <row r="4" spans="1:12" x14ac:dyDescent="0.3">
      <c r="A4" s="123">
        <f>'2965D'!B7</f>
        <v>0</v>
      </c>
      <c r="B4" s="123">
        <f>'2965D'!C7</f>
        <v>0</v>
      </c>
      <c r="C4" s="123">
        <f>'2965D'!D7</f>
        <v>0</v>
      </c>
      <c r="D4" s="109">
        <f>'2965D'!E7+Formatted[[#This Row],[Date]]</f>
        <v>0</v>
      </c>
      <c r="E4" s="109">
        <f>'2965D'!F7+Formatted[[#This Row],[Date]]</f>
        <v>0</v>
      </c>
      <c r="F4" s="122">
        <f>ROUND((Formatted[[#This Row],[LandingTime]]-Formatted[[#This Row],[TakeOffTime]]) * 1440, 0)</f>
        <v>0</v>
      </c>
      <c r="G4" s="122" t="str">
        <f>'2965D'!O7</f>
        <v/>
      </c>
      <c r="H4" s="123" t="b">
        <v>0</v>
      </c>
      <c r="I4" s="123">
        <f>'2965D'!$F$1</f>
        <v>0</v>
      </c>
      <c r="J4" s="128">
        <f>'2965D'!$O$1</f>
        <v>0</v>
      </c>
      <c r="K4" t="b">
        <v>0</v>
      </c>
      <c r="L4" t="b">
        <v>0</v>
      </c>
    </row>
    <row r="5" spans="1:12" x14ac:dyDescent="0.3">
      <c r="A5" s="123">
        <f>'2965D'!B8</f>
        <v>0</v>
      </c>
      <c r="B5" s="123">
        <f>'2965D'!C8</f>
        <v>0</v>
      </c>
      <c r="C5" s="123">
        <f>'2965D'!D8</f>
        <v>0</v>
      </c>
      <c r="D5" s="109">
        <f>'2965D'!E8+Formatted[[#This Row],[Date]]</f>
        <v>0</v>
      </c>
      <c r="E5" s="109">
        <f>'2965D'!F8+Formatted[[#This Row],[Date]]</f>
        <v>0</v>
      </c>
      <c r="F5" s="122">
        <f>ROUND((Formatted[[#This Row],[LandingTime]]-Formatted[[#This Row],[TakeOffTime]]) * 1440, 0)</f>
        <v>0</v>
      </c>
      <c r="G5" s="122" t="str">
        <f>'2965D'!O8</f>
        <v/>
      </c>
      <c r="H5" s="123" t="b">
        <v>0</v>
      </c>
      <c r="I5" s="123">
        <f>'2965D'!$F$1</f>
        <v>0</v>
      </c>
      <c r="J5" s="128">
        <f>'2965D'!$O$1</f>
        <v>0</v>
      </c>
      <c r="K5" t="b">
        <v>0</v>
      </c>
      <c r="L5" t="b">
        <v>0</v>
      </c>
    </row>
    <row r="6" spans="1:12" x14ac:dyDescent="0.3">
      <c r="A6" s="123">
        <f>'2965D'!B9</f>
        <v>0</v>
      </c>
      <c r="B6" s="123">
        <f>'2965D'!C9</f>
        <v>0</v>
      </c>
      <c r="C6" s="123">
        <f>'2965D'!D9</f>
        <v>0</v>
      </c>
      <c r="D6" s="109">
        <f>'2965D'!E9+Formatted[[#This Row],[Date]]</f>
        <v>0</v>
      </c>
      <c r="E6" s="109">
        <f>'2965D'!F9+Formatted[[#This Row],[Date]]</f>
        <v>0</v>
      </c>
      <c r="F6" s="122">
        <f>ROUND((Formatted[[#This Row],[LandingTime]]-Formatted[[#This Row],[TakeOffTime]]) * 1440, 0)</f>
        <v>0</v>
      </c>
      <c r="G6" s="122" t="str">
        <f>'2965D'!O9</f>
        <v/>
      </c>
      <c r="H6" s="123" t="b">
        <v>0</v>
      </c>
      <c r="I6" s="123">
        <f>'2965D'!$F$1</f>
        <v>0</v>
      </c>
      <c r="J6" s="128">
        <f>'2965D'!$O$1</f>
        <v>0</v>
      </c>
      <c r="K6" t="b">
        <v>0</v>
      </c>
      <c r="L6" t="b">
        <v>0</v>
      </c>
    </row>
    <row r="7" spans="1:12" x14ac:dyDescent="0.3">
      <c r="A7" s="123">
        <f>'2965D'!B10</f>
        <v>0</v>
      </c>
      <c r="B7" s="123">
        <f>'2965D'!C10</f>
        <v>0</v>
      </c>
      <c r="C7" s="123">
        <f>'2965D'!D10</f>
        <v>0</v>
      </c>
      <c r="D7" s="109">
        <f>'2965D'!E10+Formatted[[#This Row],[Date]]</f>
        <v>0</v>
      </c>
      <c r="E7" s="109">
        <f>'2965D'!F10+Formatted[[#This Row],[Date]]</f>
        <v>0</v>
      </c>
      <c r="F7" s="122">
        <f>ROUND((Formatted[[#This Row],[LandingTime]]-Formatted[[#This Row],[TakeOffTime]]) * 1440, 0)</f>
        <v>0</v>
      </c>
      <c r="G7" s="122" t="str">
        <f>'2965D'!O10</f>
        <v/>
      </c>
      <c r="H7" s="123" t="b">
        <v>0</v>
      </c>
      <c r="I7" s="123">
        <f>'2965D'!$F$1</f>
        <v>0</v>
      </c>
      <c r="J7" s="128">
        <f>'2965D'!$O$1</f>
        <v>0</v>
      </c>
      <c r="K7" t="b">
        <v>0</v>
      </c>
      <c r="L7" t="b">
        <v>0</v>
      </c>
    </row>
    <row r="8" spans="1:12" x14ac:dyDescent="0.3">
      <c r="A8" s="123">
        <f>'2965D'!B11</f>
        <v>0</v>
      </c>
      <c r="B8" s="123">
        <f>'2965D'!C11</f>
        <v>0</v>
      </c>
      <c r="C8" s="123">
        <f>'2965D'!D11</f>
        <v>0</v>
      </c>
      <c r="D8" s="109">
        <f>'2965D'!E11+Formatted[[#This Row],[Date]]</f>
        <v>0</v>
      </c>
      <c r="E8" s="109">
        <f>'2965D'!F11+Formatted[[#This Row],[Date]]</f>
        <v>0</v>
      </c>
      <c r="F8" s="122">
        <f>ROUND((Formatted[[#This Row],[LandingTime]]-Formatted[[#This Row],[TakeOffTime]]) * 1440, 0)</f>
        <v>0</v>
      </c>
      <c r="G8" s="122" t="str">
        <f>'2965D'!O11</f>
        <v/>
      </c>
      <c r="H8" s="123" t="b">
        <v>0</v>
      </c>
      <c r="I8" s="123">
        <f>'2965D'!$F$1</f>
        <v>0</v>
      </c>
      <c r="J8" s="128">
        <f>'2965D'!$O$1</f>
        <v>0</v>
      </c>
      <c r="K8" t="b">
        <v>0</v>
      </c>
      <c r="L8" t="b">
        <v>0</v>
      </c>
    </row>
    <row r="9" spans="1:12" x14ac:dyDescent="0.3">
      <c r="A9" s="123">
        <f>'2965D'!B12</f>
        <v>0</v>
      </c>
      <c r="B9" s="123">
        <f>'2965D'!C12</f>
        <v>0</v>
      </c>
      <c r="C9" s="123">
        <f>'2965D'!D12</f>
        <v>0</v>
      </c>
      <c r="D9" s="109">
        <f>'2965D'!E12+Formatted[[#This Row],[Date]]</f>
        <v>0</v>
      </c>
      <c r="E9" s="109">
        <f>'2965D'!F12+Formatted[[#This Row],[Date]]</f>
        <v>0</v>
      </c>
      <c r="F9" s="122">
        <f>ROUND((Formatted[[#This Row],[LandingTime]]-Formatted[[#This Row],[TakeOffTime]]) * 1440, 0)</f>
        <v>0</v>
      </c>
      <c r="G9" s="122" t="str">
        <f>'2965D'!O12</f>
        <v/>
      </c>
      <c r="H9" s="123" t="b">
        <v>0</v>
      </c>
      <c r="I9" s="123">
        <f>'2965D'!$F$1</f>
        <v>0</v>
      </c>
      <c r="J9" s="128">
        <f>'2965D'!$O$1</f>
        <v>0</v>
      </c>
      <c r="K9" t="b">
        <v>0</v>
      </c>
      <c r="L9" t="b">
        <v>0</v>
      </c>
    </row>
    <row r="10" spans="1:12" x14ac:dyDescent="0.3">
      <c r="A10" s="123">
        <f>'2965D'!B13</f>
        <v>0</v>
      </c>
      <c r="B10" s="123">
        <f>'2965D'!C13</f>
        <v>0</v>
      </c>
      <c r="C10" s="123">
        <f>'2965D'!D13</f>
        <v>0</v>
      </c>
      <c r="D10" s="109">
        <f>'2965D'!E13+Formatted[[#This Row],[Date]]</f>
        <v>0</v>
      </c>
      <c r="E10" s="109">
        <f>'2965D'!F13+Formatted[[#This Row],[Date]]</f>
        <v>0</v>
      </c>
      <c r="F10" s="122">
        <f>ROUND((Formatted[[#This Row],[LandingTime]]-Formatted[[#This Row],[TakeOffTime]]) * 1440, 0)</f>
        <v>0</v>
      </c>
      <c r="G10" s="122" t="str">
        <f>'2965D'!O13</f>
        <v/>
      </c>
      <c r="H10" s="123" t="b">
        <v>0</v>
      </c>
      <c r="I10" s="123">
        <f>'2965D'!$F$1</f>
        <v>0</v>
      </c>
      <c r="J10" s="128">
        <f>'2965D'!$O$1</f>
        <v>0</v>
      </c>
      <c r="K10" t="b">
        <v>0</v>
      </c>
      <c r="L10" t="b">
        <v>0</v>
      </c>
    </row>
    <row r="11" spans="1:12" x14ac:dyDescent="0.3">
      <c r="A11" s="123">
        <f>'2965D'!B14</f>
        <v>0</v>
      </c>
      <c r="B11" s="123">
        <f>'2965D'!C14</f>
        <v>0</v>
      </c>
      <c r="C11" s="123">
        <f>'2965D'!D14</f>
        <v>0</v>
      </c>
      <c r="D11" s="109">
        <f>'2965D'!E14+Formatted[[#This Row],[Date]]</f>
        <v>0</v>
      </c>
      <c r="E11" s="109">
        <f>'2965D'!F14+Formatted[[#This Row],[Date]]</f>
        <v>0</v>
      </c>
      <c r="F11" s="122">
        <f>ROUND((Formatted[[#This Row],[LandingTime]]-Formatted[[#This Row],[TakeOffTime]]) * 1440, 0)</f>
        <v>0</v>
      </c>
      <c r="G11" s="122" t="str">
        <f>'2965D'!O14</f>
        <v/>
      </c>
      <c r="H11" s="123" t="b">
        <v>0</v>
      </c>
      <c r="I11" s="123">
        <f>'2965D'!$F$1</f>
        <v>0</v>
      </c>
      <c r="J11" s="128">
        <f>'2965D'!$O$1</f>
        <v>0</v>
      </c>
      <c r="K11" t="b">
        <v>0</v>
      </c>
      <c r="L11" t="b">
        <v>0</v>
      </c>
    </row>
    <row r="12" spans="1:12" x14ac:dyDescent="0.3">
      <c r="A12" s="123">
        <f>'2965D'!B15</f>
        <v>0</v>
      </c>
      <c r="B12" s="123">
        <f>'2965D'!C15</f>
        <v>0</v>
      </c>
      <c r="C12" s="123">
        <f>'2965D'!D15</f>
        <v>0</v>
      </c>
      <c r="D12" s="109">
        <f>'2965D'!E15+Formatted[[#This Row],[Date]]</f>
        <v>0</v>
      </c>
      <c r="E12" s="109">
        <f>'2965D'!F15+Formatted[[#This Row],[Date]]</f>
        <v>0</v>
      </c>
      <c r="F12" s="122">
        <f>ROUND((Formatted[[#This Row],[LandingTime]]-Formatted[[#This Row],[TakeOffTime]]) * 1440, 0)</f>
        <v>0</v>
      </c>
      <c r="G12" s="122" t="str">
        <f>'2965D'!O15</f>
        <v/>
      </c>
      <c r="H12" s="123" t="b">
        <v>0</v>
      </c>
      <c r="I12" s="123">
        <f>'2965D'!$F$1</f>
        <v>0</v>
      </c>
      <c r="J12" s="128">
        <f>'2965D'!$O$1</f>
        <v>0</v>
      </c>
      <c r="K12" t="b">
        <v>0</v>
      </c>
      <c r="L12" t="b">
        <v>0</v>
      </c>
    </row>
    <row r="13" spans="1:12" x14ac:dyDescent="0.3">
      <c r="A13" s="123">
        <f>'2965D'!B16</f>
        <v>0</v>
      </c>
      <c r="B13" s="123">
        <f>'2965D'!C16</f>
        <v>0</v>
      </c>
      <c r="C13" s="123">
        <f>'2965D'!D16</f>
        <v>0</v>
      </c>
      <c r="D13" s="109">
        <f>'2965D'!E16+Formatted[[#This Row],[Date]]</f>
        <v>0</v>
      </c>
      <c r="E13" s="109">
        <f>'2965D'!F16+Formatted[[#This Row],[Date]]</f>
        <v>0</v>
      </c>
      <c r="F13" s="122">
        <f>ROUND((Formatted[[#This Row],[LandingTime]]-Formatted[[#This Row],[TakeOffTime]]) * 1440, 0)</f>
        <v>0</v>
      </c>
      <c r="G13" s="122" t="str">
        <f>'2965D'!O16</f>
        <v/>
      </c>
      <c r="H13" s="123" t="b">
        <v>0</v>
      </c>
      <c r="I13" s="123">
        <f>'2965D'!$F$1</f>
        <v>0</v>
      </c>
      <c r="J13" s="128">
        <f>'2965D'!$O$1</f>
        <v>0</v>
      </c>
      <c r="K13" t="b">
        <v>0</v>
      </c>
      <c r="L13" t="b">
        <v>0</v>
      </c>
    </row>
    <row r="14" spans="1:12" x14ac:dyDescent="0.3">
      <c r="A14" s="123">
        <f>'2965D'!B17</f>
        <v>0</v>
      </c>
      <c r="B14" s="123">
        <f>'2965D'!C17</f>
        <v>0</v>
      </c>
      <c r="C14" s="123">
        <f>'2965D'!D17</f>
        <v>0</v>
      </c>
      <c r="D14" s="109">
        <f>'2965D'!E17+Formatted[[#This Row],[Date]]</f>
        <v>0</v>
      </c>
      <c r="E14" s="109">
        <f>'2965D'!F17+Formatted[[#This Row],[Date]]</f>
        <v>0</v>
      </c>
      <c r="F14" s="122">
        <f>ROUND((Formatted[[#This Row],[LandingTime]]-Formatted[[#This Row],[TakeOffTime]]) * 1440, 0)</f>
        <v>0</v>
      </c>
      <c r="G14" s="122" t="str">
        <f>'2965D'!O17</f>
        <v/>
      </c>
      <c r="H14" s="123" t="b">
        <v>0</v>
      </c>
      <c r="I14" s="123">
        <f>'2965D'!$F$1</f>
        <v>0</v>
      </c>
      <c r="J14" s="128">
        <f>'2965D'!$O$1</f>
        <v>0</v>
      </c>
      <c r="K14" t="b">
        <v>0</v>
      </c>
      <c r="L14" t="b">
        <v>0</v>
      </c>
    </row>
    <row r="15" spans="1:12" x14ac:dyDescent="0.3">
      <c r="A15" s="123">
        <f>'2965D'!B18</f>
        <v>0</v>
      </c>
      <c r="B15" s="123">
        <f>'2965D'!C18</f>
        <v>0</v>
      </c>
      <c r="C15" s="123">
        <f>'2965D'!D18</f>
        <v>0</v>
      </c>
      <c r="D15" s="109">
        <f>'2965D'!E18+Formatted[[#This Row],[Date]]</f>
        <v>0</v>
      </c>
      <c r="E15" s="109">
        <f>'2965D'!F18+Formatted[[#This Row],[Date]]</f>
        <v>0</v>
      </c>
      <c r="F15" s="122">
        <f>ROUND((Formatted[[#This Row],[LandingTime]]-Formatted[[#This Row],[TakeOffTime]]) * 1440, 0)</f>
        <v>0</v>
      </c>
      <c r="G15" s="122" t="str">
        <f>'2965D'!O18</f>
        <v/>
      </c>
      <c r="H15" s="123" t="b">
        <v>0</v>
      </c>
      <c r="I15" s="123">
        <f>'2965D'!$F$1</f>
        <v>0</v>
      </c>
      <c r="J15" s="128">
        <f>'2965D'!$O$1</f>
        <v>0</v>
      </c>
      <c r="K15" t="b">
        <v>0</v>
      </c>
      <c r="L15" t="b">
        <v>0</v>
      </c>
    </row>
    <row r="16" spans="1:12" x14ac:dyDescent="0.3">
      <c r="A16" s="123">
        <f>'2965D'!B19</f>
        <v>0</v>
      </c>
      <c r="B16" s="123">
        <f>'2965D'!C19</f>
        <v>0</v>
      </c>
      <c r="C16" s="123">
        <f>'2965D'!D19</f>
        <v>0</v>
      </c>
      <c r="D16" s="109">
        <f>'2965D'!E19+Formatted[[#This Row],[Date]]</f>
        <v>0</v>
      </c>
      <c r="E16" s="109">
        <f>'2965D'!F19+Formatted[[#This Row],[Date]]</f>
        <v>0</v>
      </c>
      <c r="F16" s="122">
        <f>ROUND((Formatted[[#This Row],[LandingTime]]-Formatted[[#This Row],[TakeOffTime]]) * 1440, 0)</f>
        <v>0</v>
      </c>
      <c r="G16" s="122" t="str">
        <f>'2965D'!O19</f>
        <v/>
      </c>
      <c r="H16" s="123" t="b">
        <v>0</v>
      </c>
      <c r="I16" s="123">
        <f>'2965D'!$F$1</f>
        <v>0</v>
      </c>
      <c r="J16" s="128">
        <f>'2965D'!$O$1</f>
        <v>0</v>
      </c>
      <c r="K16" t="b">
        <v>0</v>
      </c>
      <c r="L16" t="b">
        <v>0</v>
      </c>
    </row>
    <row r="17" spans="1:12" x14ac:dyDescent="0.3">
      <c r="A17" s="123">
        <f>'2965D'!B20</f>
        <v>0</v>
      </c>
      <c r="B17" s="123">
        <f>'2965D'!C20</f>
        <v>0</v>
      </c>
      <c r="C17" s="123">
        <f>'2965D'!D20</f>
        <v>0</v>
      </c>
      <c r="D17" s="109">
        <f>'2965D'!E20+Formatted[[#This Row],[Date]]</f>
        <v>0</v>
      </c>
      <c r="E17" s="109">
        <f>'2965D'!F20+Formatted[[#This Row],[Date]]</f>
        <v>0</v>
      </c>
      <c r="F17" s="122">
        <f>ROUND((Formatted[[#This Row],[LandingTime]]-Formatted[[#This Row],[TakeOffTime]]) * 1440, 0)</f>
        <v>0</v>
      </c>
      <c r="G17" s="122" t="str">
        <f>'2965D'!O20</f>
        <v/>
      </c>
      <c r="H17" s="123" t="b">
        <v>0</v>
      </c>
      <c r="I17" s="123">
        <f>'2965D'!$F$1</f>
        <v>0</v>
      </c>
      <c r="J17" s="128">
        <f>'2965D'!$O$1</f>
        <v>0</v>
      </c>
      <c r="K17" t="b">
        <v>0</v>
      </c>
      <c r="L17" t="b">
        <v>0</v>
      </c>
    </row>
    <row r="18" spans="1:12" x14ac:dyDescent="0.3">
      <c r="A18" s="123">
        <f>'2965D'!B21</f>
        <v>0</v>
      </c>
      <c r="B18" s="123">
        <f>'2965D'!C21</f>
        <v>0</v>
      </c>
      <c r="C18" s="123">
        <f>'2965D'!D21</f>
        <v>0</v>
      </c>
      <c r="D18" s="109">
        <f>'2965D'!E21+Formatted[[#This Row],[Date]]</f>
        <v>0</v>
      </c>
      <c r="E18" s="109">
        <f>'2965D'!F21+Formatted[[#This Row],[Date]]</f>
        <v>0</v>
      </c>
      <c r="F18" s="122">
        <f>ROUND((Formatted[[#This Row],[LandingTime]]-Formatted[[#This Row],[TakeOffTime]]) * 1440, 0)</f>
        <v>0</v>
      </c>
      <c r="G18" s="122" t="str">
        <f>'2965D'!O21</f>
        <v/>
      </c>
      <c r="H18" s="123" t="b">
        <v>0</v>
      </c>
      <c r="I18" s="123">
        <f>'2965D'!$F$1</f>
        <v>0</v>
      </c>
      <c r="J18" s="128">
        <f>'2965D'!$O$1</f>
        <v>0</v>
      </c>
      <c r="K18" t="b">
        <v>0</v>
      </c>
      <c r="L18" t="b">
        <v>0</v>
      </c>
    </row>
    <row r="19" spans="1:12" x14ac:dyDescent="0.3">
      <c r="A19" s="123">
        <f>'2965D'!B22</f>
        <v>0</v>
      </c>
      <c r="B19" s="123">
        <f>'2965D'!C22</f>
        <v>0</v>
      </c>
      <c r="C19" s="123">
        <f>'2965D'!D22</f>
        <v>0</v>
      </c>
      <c r="D19" s="109">
        <f>'2965D'!E22+Formatted[[#This Row],[Date]]</f>
        <v>0</v>
      </c>
      <c r="E19" s="109">
        <f>'2965D'!F22+Formatted[[#This Row],[Date]]</f>
        <v>0</v>
      </c>
      <c r="F19" s="122">
        <f>ROUND((Formatted[[#This Row],[LandingTime]]-Formatted[[#This Row],[TakeOffTime]]) * 1440, 0)</f>
        <v>0</v>
      </c>
      <c r="G19" s="122" t="str">
        <f>'2965D'!O22</f>
        <v/>
      </c>
      <c r="H19" s="123" t="b">
        <v>0</v>
      </c>
      <c r="I19" s="123">
        <f>'2965D'!$F$1</f>
        <v>0</v>
      </c>
      <c r="J19" s="128">
        <f>'2965D'!$O$1</f>
        <v>0</v>
      </c>
      <c r="K19" t="b">
        <v>0</v>
      </c>
      <c r="L19" t="b">
        <v>0</v>
      </c>
    </row>
    <row r="20" spans="1:12" x14ac:dyDescent="0.3">
      <c r="A20" s="123">
        <f>'2965D'!B23</f>
        <v>0</v>
      </c>
      <c r="B20" s="123">
        <f>'2965D'!C23</f>
        <v>0</v>
      </c>
      <c r="C20" s="123">
        <f>'2965D'!D23</f>
        <v>0</v>
      </c>
      <c r="D20" s="109">
        <f>'2965D'!E23+Formatted[[#This Row],[Date]]</f>
        <v>0</v>
      </c>
      <c r="E20" s="109">
        <f>'2965D'!F23+Formatted[[#This Row],[Date]]</f>
        <v>0</v>
      </c>
      <c r="F20" s="122">
        <f>ROUND((Formatted[[#This Row],[LandingTime]]-Formatted[[#This Row],[TakeOffTime]]) * 1440, 0)</f>
        <v>0</v>
      </c>
      <c r="G20" s="122" t="str">
        <f>'2965D'!O23</f>
        <v/>
      </c>
      <c r="H20" s="123" t="b">
        <v>0</v>
      </c>
      <c r="I20" s="123">
        <f>'2965D'!$F$1</f>
        <v>0</v>
      </c>
      <c r="J20" s="128">
        <f>'2965D'!$O$1</f>
        <v>0</v>
      </c>
      <c r="K20" t="b">
        <v>0</v>
      </c>
      <c r="L20" t="b">
        <v>0</v>
      </c>
    </row>
    <row r="21" spans="1:12" x14ac:dyDescent="0.3">
      <c r="A21" s="123">
        <f>'2965D'!B24</f>
        <v>0</v>
      </c>
      <c r="B21" s="123">
        <f>'2965D'!C24</f>
        <v>0</v>
      </c>
      <c r="C21" s="123">
        <f>'2965D'!D24</f>
        <v>0</v>
      </c>
      <c r="D21" s="109">
        <f>'2965D'!E24+Formatted[[#This Row],[Date]]</f>
        <v>0</v>
      </c>
      <c r="E21" s="109">
        <f>'2965D'!F24+Formatted[[#This Row],[Date]]</f>
        <v>0</v>
      </c>
      <c r="F21" s="122">
        <f>ROUND((Formatted[[#This Row],[LandingTime]]-Formatted[[#This Row],[TakeOffTime]]) * 1440, 0)</f>
        <v>0</v>
      </c>
      <c r="G21" s="122" t="str">
        <f>'2965D'!O24</f>
        <v/>
      </c>
      <c r="H21" s="123" t="b">
        <v>0</v>
      </c>
      <c r="I21" s="123">
        <f>'2965D'!$F$1</f>
        <v>0</v>
      </c>
      <c r="J21" s="128">
        <f>'2965D'!$O$1</f>
        <v>0</v>
      </c>
      <c r="K21" t="b">
        <v>0</v>
      </c>
      <c r="L21" t="b">
        <v>0</v>
      </c>
    </row>
    <row r="22" spans="1:12" x14ac:dyDescent="0.3">
      <c r="A22" s="123">
        <f>'2965D'!B25</f>
        <v>0</v>
      </c>
      <c r="B22" s="123">
        <f>'2965D'!C25</f>
        <v>0</v>
      </c>
      <c r="C22" s="123">
        <f>'2965D'!D25</f>
        <v>0</v>
      </c>
      <c r="D22" s="109">
        <f>'2965D'!E25+Formatted[[#This Row],[Date]]</f>
        <v>0</v>
      </c>
      <c r="E22" s="109">
        <f>'2965D'!F25+Formatted[[#This Row],[Date]]</f>
        <v>0</v>
      </c>
      <c r="F22" s="122">
        <f>ROUND((Formatted[[#This Row],[LandingTime]]-Formatted[[#This Row],[TakeOffTime]]) * 1440, 0)</f>
        <v>0</v>
      </c>
      <c r="G22" s="122" t="str">
        <f>'2965D'!O25</f>
        <v/>
      </c>
      <c r="H22" s="123" t="b">
        <v>0</v>
      </c>
      <c r="I22" s="123">
        <f>'2965D'!$F$1</f>
        <v>0</v>
      </c>
      <c r="J22" s="128">
        <f>'2965D'!$O$1</f>
        <v>0</v>
      </c>
      <c r="K22" t="b">
        <v>0</v>
      </c>
      <c r="L22" t="b">
        <v>0</v>
      </c>
    </row>
    <row r="23" spans="1:12" x14ac:dyDescent="0.3">
      <c r="A23" s="123">
        <f>'2965D'!B26</f>
        <v>0</v>
      </c>
      <c r="B23" s="123">
        <f>'2965D'!C26</f>
        <v>0</v>
      </c>
      <c r="C23" s="123">
        <f>'2965D'!D26</f>
        <v>0</v>
      </c>
      <c r="D23" s="109">
        <f>'2965D'!E26+Formatted[[#This Row],[Date]]</f>
        <v>0</v>
      </c>
      <c r="E23" s="109">
        <f>'2965D'!F26+Formatted[[#This Row],[Date]]</f>
        <v>0</v>
      </c>
      <c r="F23" s="122">
        <f>ROUND((Formatted[[#This Row],[LandingTime]]-Formatted[[#This Row],[TakeOffTime]]) * 1440, 0)</f>
        <v>0</v>
      </c>
      <c r="G23" s="122" t="str">
        <f>'2965D'!O26</f>
        <v/>
      </c>
      <c r="H23" s="123" t="b">
        <v>0</v>
      </c>
      <c r="I23" s="123">
        <f>'2965D'!$F$1</f>
        <v>0</v>
      </c>
      <c r="J23" s="128">
        <f>'2965D'!$O$1</f>
        <v>0</v>
      </c>
      <c r="K23" t="b">
        <v>0</v>
      </c>
      <c r="L23" t="b">
        <v>0</v>
      </c>
    </row>
    <row r="24" spans="1:12" x14ac:dyDescent="0.3">
      <c r="A24" s="123">
        <f>'2965D'!B27</f>
        <v>0</v>
      </c>
      <c r="B24" s="123">
        <f>'2965D'!C27</f>
        <v>0</v>
      </c>
      <c r="C24" s="123">
        <f>'2965D'!D27</f>
        <v>0</v>
      </c>
      <c r="D24" s="109">
        <f>'2965D'!E27+Formatted[[#This Row],[Date]]</f>
        <v>0</v>
      </c>
      <c r="E24" s="109">
        <f>'2965D'!F27+Formatted[[#This Row],[Date]]</f>
        <v>0</v>
      </c>
      <c r="F24" s="122">
        <f>ROUND((Formatted[[#This Row],[LandingTime]]-Formatted[[#This Row],[TakeOffTime]]) * 1440, 0)</f>
        <v>0</v>
      </c>
      <c r="G24" s="122" t="str">
        <f>'2965D'!O27</f>
        <v/>
      </c>
      <c r="H24" s="123" t="b">
        <v>0</v>
      </c>
      <c r="I24" s="123">
        <f>'2965D'!$F$1</f>
        <v>0</v>
      </c>
      <c r="J24" s="128">
        <f>'2965D'!$O$1</f>
        <v>0</v>
      </c>
      <c r="K24" t="b">
        <v>0</v>
      </c>
      <c r="L24" t="b">
        <v>0</v>
      </c>
    </row>
    <row r="25" spans="1:12" x14ac:dyDescent="0.3">
      <c r="A25" s="123">
        <f>'2965D'!B40</f>
        <v>0</v>
      </c>
      <c r="B25" s="123">
        <f>'2965D'!C40</f>
        <v>0</v>
      </c>
      <c r="C25" s="123">
        <f>'2965D'!D40</f>
        <v>0</v>
      </c>
      <c r="D25" s="109">
        <f>'2965D'!E40+Formatted[[#This Row],[Date]]</f>
        <v>0</v>
      </c>
      <c r="E25" s="109">
        <f>'2965D'!F40+Formatted[[#This Row],[Date]]</f>
        <v>0</v>
      </c>
      <c r="F25" s="122">
        <f>ROUND((Formatted[[#This Row],[LandingTime]]-Formatted[[#This Row],[TakeOffTime]]) * 1440, 0)</f>
        <v>0</v>
      </c>
      <c r="G25" s="122" t="str">
        <f>'2965D'!O40</f>
        <v/>
      </c>
      <c r="H25" s="123" t="b">
        <v>0</v>
      </c>
      <c r="I25" s="123">
        <f>'2965D'!$F$1</f>
        <v>0</v>
      </c>
      <c r="J25" s="128">
        <f>'2965D'!$O$1</f>
        <v>0</v>
      </c>
      <c r="K25" t="b">
        <v>0</v>
      </c>
      <c r="L25" t="b">
        <v>0</v>
      </c>
    </row>
    <row r="26" spans="1:12" x14ac:dyDescent="0.3">
      <c r="A26" s="123">
        <f>'2965D'!B41</f>
        <v>0</v>
      </c>
      <c r="B26" s="123">
        <f>'2965D'!C41</f>
        <v>0</v>
      </c>
      <c r="C26" s="123">
        <f>'2965D'!D41</f>
        <v>0</v>
      </c>
      <c r="D26" s="109">
        <f>'2965D'!E41+Formatted[[#This Row],[Date]]</f>
        <v>0</v>
      </c>
      <c r="E26" s="109">
        <f>'2965D'!F41+Formatted[[#This Row],[Date]]</f>
        <v>0</v>
      </c>
      <c r="F26" s="122">
        <f>ROUND((Formatted[[#This Row],[LandingTime]]-Formatted[[#This Row],[TakeOffTime]]) * 1440, 0)</f>
        <v>0</v>
      </c>
      <c r="G26" s="122" t="str">
        <f>'2965D'!O41</f>
        <v/>
      </c>
      <c r="H26" s="123" t="b">
        <v>0</v>
      </c>
      <c r="I26" s="123">
        <f>'2965D'!$F$1</f>
        <v>0</v>
      </c>
      <c r="J26" s="128">
        <f>'2965D'!$O$1</f>
        <v>0</v>
      </c>
      <c r="K26" t="b">
        <v>0</v>
      </c>
      <c r="L26" t="b">
        <v>0</v>
      </c>
    </row>
    <row r="27" spans="1:12" x14ac:dyDescent="0.3">
      <c r="A27" s="123">
        <f>'2965D'!B42</f>
        <v>0</v>
      </c>
      <c r="B27" s="123">
        <f>'2965D'!C42</f>
        <v>0</v>
      </c>
      <c r="C27" s="123">
        <f>'2965D'!D42</f>
        <v>0</v>
      </c>
      <c r="D27" s="109">
        <f>'2965D'!E42+Formatted[[#This Row],[Date]]</f>
        <v>0</v>
      </c>
      <c r="E27" s="109">
        <f>'2965D'!F42+Formatted[[#This Row],[Date]]</f>
        <v>0</v>
      </c>
      <c r="F27" s="122">
        <f>ROUND((Formatted[[#This Row],[LandingTime]]-Formatted[[#This Row],[TakeOffTime]]) * 1440, 0)</f>
        <v>0</v>
      </c>
      <c r="G27" s="122" t="str">
        <f>'2965D'!O42</f>
        <v/>
      </c>
      <c r="H27" s="123" t="b">
        <v>0</v>
      </c>
      <c r="I27" s="123">
        <f>'2965D'!$F$1</f>
        <v>0</v>
      </c>
      <c r="J27" s="128">
        <f>'2965D'!$O$1</f>
        <v>0</v>
      </c>
      <c r="K27" t="b">
        <v>0</v>
      </c>
      <c r="L27" t="b">
        <v>0</v>
      </c>
    </row>
    <row r="28" spans="1:12" x14ac:dyDescent="0.3">
      <c r="A28" s="123">
        <f>'2965D'!B43</f>
        <v>0</v>
      </c>
      <c r="B28" s="123">
        <f>'2965D'!C43</f>
        <v>0</v>
      </c>
      <c r="C28" s="123">
        <f>'2965D'!D43</f>
        <v>0</v>
      </c>
      <c r="D28" s="109">
        <f>'2965D'!E43+Formatted[[#This Row],[Date]]</f>
        <v>0</v>
      </c>
      <c r="E28" s="109">
        <f>'2965D'!F43+Formatted[[#This Row],[Date]]</f>
        <v>0</v>
      </c>
      <c r="F28" s="122">
        <f>ROUND((Formatted[[#This Row],[LandingTime]]-Formatted[[#This Row],[TakeOffTime]]) * 1440, 0)</f>
        <v>0</v>
      </c>
      <c r="G28" s="122" t="str">
        <f>'2965D'!O43</f>
        <v/>
      </c>
      <c r="H28" s="123" t="b">
        <v>0</v>
      </c>
      <c r="I28" s="123">
        <f>'2965D'!$F$1</f>
        <v>0</v>
      </c>
      <c r="J28" s="128">
        <f>'2965D'!$O$1</f>
        <v>0</v>
      </c>
      <c r="K28" t="b">
        <v>0</v>
      </c>
      <c r="L28" t="b">
        <v>0</v>
      </c>
    </row>
    <row r="29" spans="1:12" x14ac:dyDescent="0.3">
      <c r="A29" s="123">
        <f>'2965D'!B44</f>
        <v>0</v>
      </c>
      <c r="B29" s="123">
        <f>'2965D'!C44</f>
        <v>0</v>
      </c>
      <c r="C29" s="123">
        <f>'2965D'!D44</f>
        <v>0</v>
      </c>
      <c r="D29" s="109">
        <f>'2965D'!E44+Formatted[[#This Row],[Date]]</f>
        <v>0</v>
      </c>
      <c r="E29" s="109">
        <f>'2965D'!F44+Formatted[[#This Row],[Date]]</f>
        <v>0</v>
      </c>
      <c r="F29" s="122">
        <f>ROUND((Formatted[[#This Row],[LandingTime]]-Formatted[[#This Row],[TakeOffTime]]) * 1440, 0)</f>
        <v>0</v>
      </c>
      <c r="G29" s="122" t="str">
        <f>'2965D'!O44</f>
        <v/>
      </c>
      <c r="H29" s="123" t="b">
        <v>0</v>
      </c>
      <c r="I29" s="123">
        <f>'2965D'!$F$1</f>
        <v>0</v>
      </c>
      <c r="J29" s="128">
        <f>'2965D'!$O$1</f>
        <v>0</v>
      </c>
      <c r="K29" t="b">
        <v>0</v>
      </c>
      <c r="L29" t="b">
        <v>0</v>
      </c>
    </row>
    <row r="30" spans="1:12" x14ac:dyDescent="0.3">
      <c r="A30" s="123">
        <f>'2965D'!B45</f>
        <v>0</v>
      </c>
      <c r="B30" s="123">
        <f>'2965D'!C45</f>
        <v>0</v>
      </c>
      <c r="C30" s="123">
        <f>'2965D'!D45</f>
        <v>0</v>
      </c>
      <c r="D30" s="109">
        <f>'2965D'!E45+Formatted[[#This Row],[Date]]</f>
        <v>0</v>
      </c>
      <c r="E30" s="109">
        <f>'2965D'!F45+Formatted[[#This Row],[Date]]</f>
        <v>0</v>
      </c>
      <c r="F30" s="122">
        <f>ROUND((Formatted[[#This Row],[LandingTime]]-Formatted[[#This Row],[TakeOffTime]]) * 1440, 0)</f>
        <v>0</v>
      </c>
      <c r="G30" s="122" t="str">
        <f>'2965D'!O45</f>
        <v/>
      </c>
      <c r="H30" s="123" t="b">
        <v>0</v>
      </c>
      <c r="I30" s="123">
        <f>'2965D'!$F$1</f>
        <v>0</v>
      </c>
      <c r="J30" s="128">
        <f>'2965D'!$O$1</f>
        <v>0</v>
      </c>
      <c r="K30" t="b">
        <v>0</v>
      </c>
      <c r="L30" t="b">
        <v>0</v>
      </c>
    </row>
    <row r="31" spans="1:12" x14ac:dyDescent="0.3">
      <c r="A31" s="123">
        <f>'2965D'!B46</f>
        <v>0</v>
      </c>
      <c r="B31" s="123">
        <f>'2965D'!C46</f>
        <v>0</v>
      </c>
      <c r="C31" s="123">
        <f>'2965D'!D46</f>
        <v>0</v>
      </c>
      <c r="D31" s="109">
        <f>'2965D'!E46+Formatted[[#This Row],[Date]]</f>
        <v>0</v>
      </c>
      <c r="E31" s="109">
        <f>'2965D'!F46+Formatted[[#This Row],[Date]]</f>
        <v>0</v>
      </c>
      <c r="F31" s="122">
        <f>ROUND((Formatted[[#This Row],[LandingTime]]-Formatted[[#This Row],[TakeOffTime]]) * 1440, 0)</f>
        <v>0</v>
      </c>
      <c r="G31" s="122" t="str">
        <f>'2965D'!O46</f>
        <v/>
      </c>
      <c r="H31" s="123" t="b">
        <v>0</v>
      </c>
      <c r="I31" s="123">
        <f>'2965D'!$F$1</f>
        <v>0</v>
      </c>
      <c r="J31" s="128">
        <f>'2965D'!$O$1</f>
        <v>0</v>
      </c>
      <c r="K31" t="b">
        <v>0</v>
      </c>
      <c r="L31" t="b">
        <v>0</v>
      </c>
    </row>
    <row r="32" spans="1:12" x14ac:dyDescent="0.3">
      <c r="A32" s="123">
        <f>'2965D'!B47</f>
        <v>0</v>
      </c>
      <c r="B32" s="123">
        <f>'2965D'!C47</f>
        <v>0</v>
      </c>
      <c r="C32" s="123">
        <f>'2965D'!D47</f>
        <v>0</v>
      </c>
      <c r="D32" s="109">
        <f>'2965D'!E47+Formatted[[#This Row],[Date]]</f>
        <v>0</v>
      </c>
      <c r="E32" s="109">
        <f>'2965D'!F47+Formatted[[#This Row],[Date]]</f>
        <v>0</v>
      </c>
      <c r="F32" s="122">
        <f>ROUND((Formatted[[#This Row],[LandingTime]]-Formatted[[#This Row],[TakeOffTime]]) * 1440, 0)</f>
        <v>0</v>
      </c>
      <c r="G32" s="122" t="str">
        <f>'2965D'!O47</f>
        <v/>
      </c>
      <c r="H32" s="123" t="b">
        <v>0</v>
      </c>
      <c r="I32" s="123">
        <f>'2965D'!$F$1</f>
        <v>0</v>
      </c>
      <c r="J32" s="128">
        <f>'2965D'!$O$1</f>
        <v>0</v>
      </c>
      <c r="K32" t="b">
        <v>0</v>
      </c>
      <c r="L32" t="b">
        <v>0</v>
      </c>
    </row>
    <row r="33" spans="1:12" x14ac:dyDescent="0.3">
      <c r="A33" s="123">
        <f>'2965D'!B48</f>
        <v>0</v>
      </c>
      <c r="B33" s="123">
        <f>'2965D'!C48</f>
        <v>0</v>
      </c>
      <c r="C33" s="123">
        <f>'2965D'!D48</f>
        <v>0</v>
      </c>
      <c r="D33" s="109">
        <f>'2965D'!E48+Formatted[[#This Row],[Date]]</f>
        <v>0</v>
      </c>
      <c r="E33" s="109">
        <f>'2965D'!F48+Formatted[[#This Row],[Date]]</f>
        <v>0</v>
      </c>
      <c r="F33" s="122">
        <f>ROUND((Formatted[[#This Row],[LandingTime]]-Formatted[[#This Row],[TakeOffTime]]) * 1440, 0)</f>
        <v>0</v>
      </c>
      <c r="G33" s="122" t="str">
        <f>'2965D'!O48</f>
        <v/>
      </c>
      <c r="H33" s="123" t="b">
        <v>0</v>
      </c>
      <c r="I33" s="123">
        <f>'2965D'!$F$1</f>
        <v>0</v>
      </c>
      <c r="J33" s="128">
        <f>'2965D'!$O$1</f>
        <v>0</v>
      </c>
      <c r="K33" t="b">
        <v>0</v>
      </c>
      <c r="L33" t="b">
        <v>0</v>
      </c>
    </row>
    <row r="34" spans="1:12" x14ac:dyDescent="0.3">
      <c r="A34" s="123">
        <f>'2965D'!B49</f>
        <v>0</v>
      </c>
      <c r="B34" s="123">
        <f>'2965D'!C49</f>
        <v>0</v>
      </c>
      <c r="C34" s="123">
        <f>'2965D'!D49</f>
        <v>0</v>
      </c>
      <c r="D34" s="109">
        <f>'2965D'!E49+Formatted[[#This Row],[Date]]</f>
        <v>0</v>
      </c>
      <c r="E34" s="109">
        <f>'2965D'!F49+Formatted[[#This Row],[Date]]</f>
        <v>0</v>
      </c>
      <c r="F34" s="122">
        <f>ROUND((Formatted[[#This Row],[LandingTime]]-Formatted[[#This Row],[TakeOffTime]]) * 1440, 0)</f>
        <v>0</v>
      </c>
      <c r="G34" s="122" t="str">
        <f>'2965D'!O49</f>
        <v/>
      </c>
      <c r="H34" s="123" t="b">
        <v>0</v>
      </c>
      <c r="I34" s="123">
        <f>'2965D'!$F$1</f>
        <v>0</v>
      </c>
      <c r="J34" s="128">
        <f>'2965D'!$O$1</f>
        <v>0</v>
      </c>
      <c r="K34" t="b">
        <v>0</v>
      </c>
      <c r="L34" t="b">
        <v>0</v>
      </c>
    </row>
    <row r="35" spans="1:12" x14ac:dyDescent="0.3">
      <c r="A35" s="123">
        <f>'2965D'!B50</f>
        <v>0</v>
      </c>
      <c r="B35" s="123">
        <f>'2965D'!C50</f>
        <v>0</v>
      </c>
      <c r="C35" s="123">
        <f>'2965D'!D50</f>
        <v>0</v>
      </c>
      <c r="D35" s="109">
        <f>'2965D'!E50+Formatted[[#This Row],[Date]]</f>
        <v>0</v>
      </c>
      <c r="E35" s="109">
        <f>'2965D'!F50+Formatted[[#This Row],[Date]]</f>
        <v>0</v>
      </c>
      <c r="F35" s="122">
        <f>ROUND((Formatted[[#This Row],[LandingTime]]-Formatted[[#This Row],[TakeOffTime]]) * 1440, 0)</f>
        <v>0</v>
      </c>
      <c r="G35" s="122" t="str">
        <f>'2965D'!O50</f>
        <v/>
      </c>
      <c r="H35" s="123" t="b">
        <v>0</v>
      </c>
      <c r="I35" s="123">
        <f>'2965D'!$F$1</f>
        <v>0</v>
      </c>
      <c r="J35" s="128">
        <f>'2965D'!$O$1</f>
        <v>0</v>
      </c>
      <c r="K35" t="b">
        <v>0</v>
      </c>
      <c r="L35" t="b">
        <v>0</v>
      </c>
    </row>
    <row r="36" spans="1:12" x14ac:dyDescent="0.3">
      <c r="A36" s="123">
        <f>'2965D'!B51</f>
        <v>0</v>
      </c>
      <c r="B36" s="123">
        <f>'2965D'!C51</f>
        <v>0</v>
      </c>
      <c r="C36" s="123">
        <f>'2965D'!D51</f>
        <v>0</v>
      </c>
      <c r="D36" s="109">
        <f>'2965D'!E51+Formatted[[#This Row],[Date]]</f>
        <v>0</v>
      </c>
      <c r="E36" s="109">
        <f>'2965D'!F51+Formatted[[#This Row],[Date]]</f>
        <v>0</v>
      </c>
      <c r="F36" s="122">
        <f>ROUND((Formatted[[#This Row],[LandingTime]]-Formatted[[#This Row],[TakeOffTime]]) * 1440, 0)</f>
        <v>0</v>
      </c>
      <c r="G36" s="122" t="str">
        <f>'2965D'!O51</f>
        <v/>
      </c>
      <c r="H36" s="123" t="b">
        <v>0</v>
      </c>
      <c r="I36" s="123">
        <f>'2965D'!$F$1</f>
        <v>0</v>
      </c>
      <c r="J36" s="128">
        <f>'2965D'!$O$1</f>
        <v>0</v>
      </c>
      <c r="K36" t="b">
        <v>0</v>
      </c>
      <c r="L36" t="b">
        <v>0</v>
      </c>
    </row>
  </sheetData>
  <phoneticPr fontId="9" type="noConversion"/>
  <pageMargins left="0.7" right="0.7" top="0.75" bottom="0.75" header="0.3" footer="0.3"/>
  <ignoredErrors>
    <ignoredError sqref="G25:G36"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d97f947-7d52-49e5-b3e0-698e4824ad16" xsi:nil="true"/>
    <lcf76f155ced4ddcb4097134ff3c332f xmlns="1b01beb4-0251-44fb-a6ff-5d52cac4f4af">
      <Terms xmlns="http://schemas.microsoft.com/office/infopath/2007/PartnerControls"/>
    </lcf76f155ced4ddcb4097134ff3c332f>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53153BD84383F4AA266E01CBBA9B792" ma:contentTypeVersion="24" ma:contentTypeDescription="Create a new document." ma:contentTypeScope="" ma:versionID="a47d3fb68849e39e8b795bc582d5ce53">
  <xsd:schema xmlns:xsd="http://www.w3.org/2001/XMLSchema" xmlns:xs="http://www.w3.org/2001/XMLSchema" xmlns:p="http://schemas.microsoft.com/office/2006/metadata/properties" xmlns:ns2="1b01beb4-0251-44fb-a6ff-5d52cac4f4af" xmlns:ns3="dd97f947-7d52-49e5-b3e0-698e4824ad16" targetNamespace="http://schemas.microsoft.com/office/2006/metadata/properties" ma:root="true" ma:fieldsID="21073a9779e44ada5db24632ccb3ce48" ns2:_="" ns3:_="">
    <xsd:import namespace="1b01beb4-0251-44fb-a6ff-5d52cac4f4af"/>
    <xsd:import namespace="dd97f947-7d52-49e5-b3e0-698e4824ad1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Location"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01beb4-0251-44fb-a6ff-5d52cac4f4a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d97f947-7d52-49e5-b3e0-698e4824ad1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b1c5cdf-5181-4987-8e9f-b2772953d822}" ma:internalName="TaxCatchAll" ma:showField="CatchAllData" ma:web="dd97f947-7d52-49e5-b3e0-698e4824ad1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schemas.microsoft.com/office/2006/metadata/properties"/>
    <ds:schemaRef ds:uri="http://schemas.microsoft.com/office/infopath/2007/PartnerControls"/>
    <ds:schemaRef ds:uri="dd97f947-7d52-49e5-b3e0-698e4824ad16"/>
    <ds:schemaRef ds:uri="1b01beb4-0251-44fb-a6ff-5d52cac4f4af"/>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1C195F82-EAD8-47B8-9B87-1F65C1E2F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01beb4-0251-44fb-a6ff-5d52cac4f4af"/>
    <ds:schemaRef ds:uri="dd97f947-7d52-49e5-b3e0-698e4824ad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2965D</vt:lpstr>
      <vt:lpstr>Instructions</vt:lpstr>
      <vt:lpstr>Changelog</vt:lpstr>
      <vt:lpstr>INPUT_DATA</vt:lpstr>
      <vt:lpstr>FORMATTED</vt:lpstr>
      <vt:lpstr>'2965D'!Print_Area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White</dc:creator>
  <cp:keywords/>
  <dc:description/>
  <cp:lastModifiedBy>Michael Jennings</cp:lastModifiedBy>
  <cp:revision/>
  <dcterms:created xsi:type="dcterms:W3CDTF">2022-06-26T15:01:24Z</dcterms:created>
  <dcterms:modified xsi:type="dcterms:W3CDTF">2023-07-29T19:00:52Z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0x010100C53153BD84383F4AA266E01CBBA9B792</vt:lpwstr>
  </property>
  <property fmtid="{D5CDD505-2E9C-101B-9397-08002B2CF9AE}" pid="3" name="MediaServiceImageTags">
    <vt:lpwstr/>
  </property>
</Properties>
</file>