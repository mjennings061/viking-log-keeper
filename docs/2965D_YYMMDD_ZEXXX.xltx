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codeName="ThisWorkbook" defaultThemeVersion="166925"/>
  <mc:AlternateContent xmlns:mc="http://schemas.openxmlformats.org/markup-compatibility/2006">
    <mc:Choice Requires="x15">
      <x15ac:absPath xmlns:x15ac="http://schemas.microsoft.com/office/spreadsheetml/2010/11/ac" url="C:\Users\WhiteChrisFltLt(RAFA.AzureAD\Documents\"/>
    </mc:Choice>
  </mc:AlternateContent>
  <xr:revisionPtr revIDLastSave="0" documentId="8_{9C8E73F4-E0EA-4CC2-8060-41A997D2EC25}" xr6:coauthVersionLast="47" xr6:coauthVersionMax="47" xr10:uidLastSave="{00000000-0000-0000-0000-000000000000}"/>
  <bookViews>
    <workbookView xWindow="23880" yWindow="-120" windowWidth="24240" windowHeight="130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1">'Print Copy'!$B$2:$Y$35,'Print Copy'!$B$37:$Y$66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6" i="9" l="1"/>
  <c r="Y47" i="9"/>
  <c r="Y48" i="9"/>
  <c r="Y49" i="9"/>
  <c r="Y50" i="9"/>
  <c r="Y51" i="9"/>
  <c r="Y52" i="9"/>
  <c r="Y53" i="9"/>
  <c r="Y54" i="9"/>
  <c r="Y55" i="9"/>
  <c r="Y56" i="9"/>
  <c r="Y45" i="9"/>
  <c r="S48" i="1" a="1"/>
  <c r="S48" i="1" s="1"/>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2" i="9" s="1"/>
  <c r="H13" i="1"/>
  <c r="I12" i="9" s="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G48" i="1"/>
  <c r="F48" i="1"/>
  <c r="K49" i="1" l="1"/>
  <c r="M49" i="1" s="1"/>
  <c r="S49" i="1"/>
  <c r="I48" i="1"/>
  <c r="E49" i="1"/>
  <c r="F49" i="1"/>
  <c r="G49" i="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Jennings</author>
    <author>Chris White</author>
    <author>mj-bsecur</author>
  </authors>
  <commentList>
    <comment ref="D2" authorId="0" shapeId="0" xr:uid="{43BCBF42-5CFB-4BEF-AD78-95802BBC1BE8}">
      <text>
        <r>
          <rPr>
            <b/>
            <sz val="9"/>
            <color indexed="81"/>
            <rFont val="Tahoma"/>
            <charset val="1"/>
          </rPr>
          <t xml:space="preserve">Michael Jennings:
</t>
        </r>
        <r>
          <rPr>
            <sz val="9"/>
            <color indexed="81"/>
            <rFont val="Tahoma"/>
            <family val="2"/>
          </rPr>
          <t>Enter your AC number. If its not there, add it to the hidden INPUT_DATA sheet</t>
        </r>
      </text>
    </comment>
    <comment ref="O2" authorId="1" shapeId="0" xr:uid="{00000000-0006-0000-0000-000001000000}">
      <text>
        <r>
          <rPr>
            <b/>
            <sz val="9"/>
            <color indexed="81"/>
            <rFont val="Tahoma"/>
            <family val="2"/>
          </rPr>
          <t>Chris White:</t>
        </r>
        <r>
          <rPr>
            <sz val="9"/>
            <color indexed="81"/>
            <rFont val="Tahoma"/>
            <family val="2"/>
          </rPr>
          <t xml:space="preserve">
Use CTRL+; to enter the date</t>
        </r>
      </text>
    </comment>
    <comment ref="B4" authorId="0" shapeId="0" xr:uid="{B201CC4A-EB41-4D2C-87A2-0081C8B3F442}">
      <text>
        <r>
          <rPr>
            <b/>
            <sz val="9"/>
            <color indexed="81"/>
            <rFont val="Tahoma"/>
            <charset val="1"/>
          </rPr>
          <t>Michael Jennings:</t>
        </r>
        <r>
          <rPr>
            <sz val="9"/>
            <color indexed="81"/>
            <rFont val="Tahoma"/>
            <charset val="1"/>
          </rPr>
          <t xml:space="preserve">
Take the hours from the F700s "Running Log"</t>
        </r>
      </text>
    </comment>
    <comment ref="B5" authorId="0" shapeId="0" xr:uid="{0E1C4AE6-42AA-453E-A919-3E047C561520}">
      <text>
        <r>
          <rPr>
            <b/>
            <sz val="9"/>
            <color indexed="81"/>
            <rFont val="Tahoma"/>
            <charset val="1"/>
          </rPr>
          <t>Michael Jennings:</t>
        </r>
        <r>
          <rPr>
            <sz val="9"/>
            <color indexed="81"/>
            <rFont val="Tahoma"/>
            <charset val="1"/>
          </rPr>
          <t xml:space="preserve">
Take the launches from the F700s "Running Log"</t>
        </r>
      </text>
    </comment>
    <comment ref="E5" authorId="0" shapeId="0" xr:uid="{EC5AF561-DB41-4A59-8D9C-BC56A85F6767}">
      <text>
        <r>
          <rPr>
            <b/>
            <sz val="9"/>
            <color indexed="81"/>
            <rFont val="Tahoma"/>
            <charset val="1"/>
          </rPr>
          <t>Michael Jennings:</t>
        </r>
        <r>
          <rPr>
            <sz val="9"/>
            <color indexed="81"/>
            <rFont val="Tahoma"/>
            <charset val="1"/>
          </rPr>
          <t xml:space="preserve">
If you have less than 32 launches, you can enter the number here and a red line will appear.</t>
        </r>
      </text>
    </comment>
    <comment ref="B7" authorId="1"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1" shapeId="0" xr:uid="{00000000-0006-0000-0000-000003000000}">
      <text>
        <r>
          <rPr>
            <b/>
            <sz val="9"/>
            <color indexed="81"/>
            <rFont val="Tahoma"/>
            <family val="2"/>
          </rPr>
          <t>Chris White:</t>
        </r>
        <r>
          <rPr>
            <sz val="9"/>
            <color indexed="81"/>
            <rFont val="Tahoma"/>
            <family val="2"/>
          </rPr>
          <t xml:space="preserve">
Type surname</t>
        </r>
      </text>
    </comment>
    <comment ref="D7" authorId="1"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1"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1"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0"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L9" authorId="0"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<sst xmlns="http://schemas.openxmlformats.org/spreadsheetml/2006/main" count="308" uniqueCount="218">
  <si>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</si>
  <si>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</si>
  <si>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</si>
  <si>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</si>
  <si>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</si>
  <si>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</si>
  <si>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</si>
  <si>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</si>
  <si>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</si>
  <si>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</si>
  <si>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</si>
  <si>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</si>
  <si>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</si>
  <si>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</si>
  <si>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</si>
  <si>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</si>
  <si>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</si>
  <si>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</si>
  <si>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</si>
  <si>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</si>
  <si>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</si>
  <si>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</si>
  <si>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</si>
  <si>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</si>
  <si>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</si>
  <si>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</si>
  <si>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</si>
  <si>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</si>
  <si>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</si>
  <si>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</si>
  <si>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</si>
  <si>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</si>
  <si>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</si>
  <si>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</si>
  <si>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</si>
  <si>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</si>
  <si>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</si>
  <si>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</si>
  <si>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</si>
  <si>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</si>
  <si>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</si>
  <si>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</si>
  <si>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</si>
  <si>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</si>
  <si>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</si>
  <si>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</si>
  <si>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</si>
  <si>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</si>
  <si>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</si>
  <si>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</si>
  <si>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</si>
  <si>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</si>
  <si>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</si>
  <si>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</si>
  <si>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</si>
  <si>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</si>
  <si>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</si>
  <si>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</si>
  <si>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</si>
  <si>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</si>
  <si>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</si>
  <si>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</si>
  <si>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</si>
  <si>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</si>
  <si>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</si>
  <si>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</si>
  <si>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</si>
  <si>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</si>
  <si>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</si>
  <si>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</si>
  <si>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</si>
  <si>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</si>
  <si>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</si>
  <si>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</si>
  <si>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</si>
  <si>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</si>
  <si>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</si>
  <si>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</si>
  <si>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</si>
  <si>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</si>
  <si>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</si>
  <si>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</si>
  <si>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</si>
  <si>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</si>
  <si>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</si>
  <si>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</si>
  <si>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</si>
  <si>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</si>
  <si>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</si>
  <si>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</si>
  <si>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</si>
  <si>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</si>
  <si>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</si>
  <si>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</si>
  <si>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</si>
  <si>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</si>
  <si>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</si>
  <si>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</si>
  <si>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</si>
  <si>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</si>
  <si>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</si>
  <si>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</si>
  <si>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</si>
  <si>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</si>
  <si>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</si>
  <si>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</si>
  <si>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</si>
  <si>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</si>
  <si>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</si>
  <si>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</si>
  <si>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</si>
  <si>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</si>
  <si>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</si>
  <si>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</si>
  <si>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</si>
  <si>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</si>
  <si>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</si>
  <si>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</si>
  <si>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</si>
  <si>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</si>
  <si>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</si>
  <si>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</si>
  <si>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</si>
  <si>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</si>
  <si>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</si>
  <si>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</si>
  <si>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</si>
  <si>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</si>
  <si>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</si>
  <si>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</si>
  <si>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</si>
  <si>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</si>
  <si>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</si>
  <si>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</si>
  <si>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</si>
  <si>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</si>
  <si>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</si>
  <si>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</si>
  <si>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</si>
  <si>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</si>
  <si>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</si>
  <si>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</si>
  <si>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</si>
  <si>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</si>
  <si>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</si>
  <si>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</si>
  <si>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</si>
  <si>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</si>
  <si>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</si>
  <si>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</si>
  <si>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</si>
  <si>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</si>
  <si>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</si>
  <si>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</si>
  <si>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</si>
  <si>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</si>
  <si>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</si>
  <si>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</si>
  <si>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</si>
  <si>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</si>
  <si>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0593</t>
  </si>
  <si>
    <t>9013</t>
  </si>
  <si>
    <t>2143</t>
  </si>
  <si>
    <t>3208</t>
  </si>
  <si>
    <t>4456</t>
  </si>
  <si>
    <t>5909</t>
  </si>
  <si>
    <t>796B</t>
  </si>
  <si>
    <t>8923</t>
  </si>
  <si>
    <t>1277</t>
  </si>
  <si>
    <t>6223</t>
  </si>
  <si>
    <t>8596</t>
  </si>
  <si>
    <t>9647</t>
  </si>
  <si>
    <t>0103</t>
  </si>
  <si>
    <t>0572</t>
  </si>
  <si>
    <t>3.0.0</t>
  </si>
  <si>
    <t>IA</t>
  </si>
  <si>
    <t>JB</t>
  </si>
  <si>
    <t>SB</t>
  </si>
  <si>
    <t>KC</t>
  </si>
  <si>
    <t>CD</t>
  </si>
  <si>
    <t>HE</t>
  </si>
  <si>
    <t>KG</t>
  </si>
  <si>
    <t>SG</t>
  </si>
  <si>
    <t>CL</t>
  </si>
  <si>
    <t>SL</t>
  </si>
  <si>
    <t>AM</t>
  </si>
  <si>
    <t>JP</t>
  </si>
  <si>
    <t>NP</t>
  </si>
  <si>
    <t>LP</t>
  </si>
  <si>
    <t>AR</t>
  </si>
  <si>
    <t>PS</t>
  </si>
  <si>
    <t>KT</t>
  </si>
  <si>
    <t>RW</t>
  </si>
  <si>
    <t>TW</t>
  </si>
  <si>
    <t>GW</t>
  </si>
  <si>
    <t>Surname</t>
  </si>
  <si>
    <t>Last 4 of SN now entered into A/F column will add initials to Print Copy</t>
  </si>
  <si>
    <t>3.1.0</t>
  </si>
  <si>
    <t>Checkboxes for soaring and aeros now compatible with older office versions</t>
  </si>
  <si>
    <t>2003</t>
  </si>
  <si>
    <t>AB</t>
  </si>
  <si>
    <t>Baruah</t>
  </si>
  <si>
    <t>3.2.0</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</si>
  <si>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2965D_250211_ZE625.xlsx</t>
    </r>
  </si>
  <si>
    <t>Start of Day</t>
  </si>
  <si>
    <t>End of Day</t>
  </si>
  <si>
    <r>
      <t xml:space="preserve">Ensure the log sheet has </t>
    </r>
    <r>
      <rPr>
        <b/>
        <sz val="11"/>
        <color theme="1"/>
        <rFont val="Calibri"/>
        <family val="2"/>
        <scheme val="minor"/>
      </rPr>
      <t>saved</t>
    </r>
    <r>
      <rPr>
        <sz val="11"/>
        <color theme="1"/>
        <rFont val="Calibri"/>
        <family val="2"/>
        <scheme val="minor"/>
      </rPr>
      <t xml:space="preserve"> to Sharepoint</t>
    </r>
  </si>
  <si>
    <r>
      <rPr>
        <b/>
        <sz val="11"/>
        <color rgb="FF000000"/>
        <rFont val="Calibri"/>
        <family val="2"/>
      </rPr>
      <t>Upload</t>
    </r>
    <r>
      <rPr>
        <sz val="11"/>
        <color rgb="FF000000"/>
        <rFont val="Calibri"/>
        <family val="2"/>
      </rPr>
      <t xml:space="preserve"> log sheets on the "Upload Log Sheets" page</t>
    </r>
  </si>
  <si>
    <r>
      <t xml:space="preserve">Go to "Print Copy" and </t>
    </r>
    <r>
      <rPr>
        <b/>
        <sz val="11"/>
        <color theme="1"/>
        <rFont val="Calibri"/>
        <family val="2"/>
        <scheme val="minor"/>
      </rPr>
      <t>print</t>
    </r>
    <r>
      <rPr>
        <sz val="11"/>
        <color theme="1"/>
        <rFont val="Calibri"/>
        <family val="2"/>
        <scheme val="minor"/>
      </rPr>
      <t xml:space="preserve"> the log sheet. </t>
    </r>
  </si>
  <si>
    <t>Add the last four digits of the AC commander into the AF initials column during the in-brief.</t>
  </si>
  <si>
    <t>Formatted notes to ensure all text is visible
Added data type to launches left, hours before, launches before, and second pilot column
Reformatted instructions with start of day and end of day</t>
  </si>
  <si>
    <t>3.3.0</t>
  </si>
  <si>
    <t>5744</t>
  </si>
  <si>
    <t>Arijs</t>
  </si>
  <si>
    <t>SA</t>
  </si>
  <si>
    <t>Added drop-down for 2nd pilot column
Changed INPUT_DATA to have Duty as a table
Changed INPUT_DATA to create Pilots table</t>
  </si>
  <si>
    <t>3.3.1</t>
  </si>
  <si>
    <t>Fixed issue where AF signatures did not pull through to page two of the print 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</si>
</sst>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7"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
      <sz val="9"/>
      <color indexed="81"/>
      <name val="Tahoma"/>
      <charset val="1"/>
    </font>
    <font>
      <b/>
      <sz val="9"/>
      <color indexed="81"/>
      <name val="Tahoma"/>
      <charset val="1"/>
    </font>
    <font>
      <b/>
      <sz val="11"/>
      <color rgb="FF000000"/>
      <name val="Calibri"/>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8">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1" fontId="26" fillId="4" borderId="39" xfId="0" applyNumberFormat="1" applyFont="1" applyFill="1" applyBorder="1" applyAlignment="1" applyProtection="1">
      <alignment horizontal="center" vertical="center"/>
      <protection locked="0"/>
    </xf>
    <xf numFmtId="165" fontId="26" fillId="4" borderId="39" xfId="0" applyNumberFormat="1" applyFont="1" applyFill="1" applyBorder="1" applyAlignment="1" applyProtection="1">
      <alignment horizontal="center" vertical="center" wrapText="1"/>
      <protection locked="0"/>
    </xf>
    <xf numFmtId="49" fontId="1" fillId="4" borderId="5" xfId="0" applyNumberFormat="1" applyFont="1" applyFill="1" applyBorder="1" applyProtection="1">
      <protection locked="0"/>
    </xf>
    <xf numFmtId="49" fontId="1" fillId="4" borderId="1" xfId="0" applyNumberFormat="1" applyFont="1" applyFill="1" applyBorder="1" applyProtection="1">
      <protection locked="0"/>
    </xf>
    <xf numFmtId="49" fontId="1" fillId="4" borderId="10" xfId="0" applyNumberFormat="1" applyFont="1" applyFill="1" applyBorder="1" applyProtection="1">
      <protection locked="0"/>
    </xf>
    <xf numFmtId="0" fontId="32" fillId="0" borderId="84" xfId="0" applyFont="1" applyBorder="1" applyAlignment="1">
      <alignment horizontal="center" vertical="center"/>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1" fontId="26" fillId="4" borderId="38" xfId="0" applyNumberFormat="1" applyFont="1" applyFill="1" applyBorder="1" applyAlignment="1" applyProtection="1">
      <alignment horizontal="center" vertical="center" wrapText="1"/>
      <protection locked="0"/>
    </xf>
    <xf numFmtId="1" fontId="26" fillId="4" borderId="39" xfId="0" applyNumberFormat="1" applyFont="1" applyFill="1" applyBorder="1" applyAlignment="1" applyProtection="1">
      <alignment horizontal="center" vertical="center" wrapText="1"/>
      <protection locked="0"/>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9" fillId="0" borderId="43" xfId="0" applyFont="1" applyBorder="1" applyAlignment="1">
      <alignment horizontal="center" vertical="center"/>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165" fontId="9" fillId="0" borderId="43" xfId="0" applyNumberFormat="1" applyFont="1" applyBorder="1" applyAlignment="1">
      <alignment horizontal="center" vertical="center"/>
    </xf>
    <xf numFmtId="165" fontId="9" fillId="0" borderId="25" xfId="0" applyNumberFormat="1" applyFont="1" applyBorder="1" applyAlignment="1">
      <alignment horizontal="center" vertical="center"/>
    </xf>
    <xf numFmtId="0" fontId="9" fillId="0" borderId="86"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40" xfId="0" applyFont="1" applyBorder="1" applyAlignment="1">
      <alignment horizontal="center" vertical="center"/>
    </xf>
    <xf numFmtId="0" fontId="2" fillId="0" borderId="35" xfId="0" applyFont="1" applyBorder="1" applyAlignment="1">
      <alignment horizontal="center"/>
    </xf>
    <xf numFmtId="0" fontId="2" fillId="0" borderId="0" xfId="0" applyFont="1" applyAlignment="1">
      <alignment horizont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6" fillId="0" borderId="0" xfId="0" applyNumberFormat="1" applyFont="1" applyAlignment="1">
      <alignment horizontal="center" vertical="center" wrapText="1"/>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26" xfId="0" applyFont="1" applyBorder="1" applyAlignment="1">
      <alignment horizontal="center" vertical="center"/>
    </xf>
    <xf numFmtId="0" fontId="2" fillId="0" borderId="3" xfId="0" applyFont="1" applyBorder="1" applyAlignment="1">
      <alignment horizontal="center" vertical="center"/>
    </xf>
    <xf numFmtId="0" fontId="2" fillId="0" borderId="28" xfId="0" applyFont="1" applyBorder="1" applyAlignment="1">
      <alignment horizontal="center" vertical="center"/>
    </xf>
    <xf numFmtId="0" fontId="2" fillId="0" borderId="12"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4" xfId="0" applyFont="1" applyBorder="1" applyAlignment="1">
      <alignment horizontal="center" vertical="center"/>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cellXfs>
  <cellStyles count="2">
    <cellStyle name="Hyperlink" xfId="1" builtinId="8"/>
    <cellStyle name="Normal" xfId="0" builtinId="0"/>
  </cellStyles>
  <dxfs count="28">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1/relationships/FeaturePropertyBag" Target="featurePropertyBag/featurePropertyBag.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9</xdr:row>
          <xdr:rowOff>0</xdr:rowOff>
        </xdr:from>
        <xdr:to>
          <xdr:col>18</xdr:col>
          <xdr:colOff>247650</xdr:colOff>
          <xdr:row>10</xdr:row>
          <xdr:rowOff>28575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0</xdr:rowOff>
        </xdr:from>
        <xdr:to>
          <xdr:col>18</xdr:col>
          <xdr:colOff>247650</xdr:colOff>
          <xdr:row>11</xdr:row>
          <xdr:rowOff>28575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11</xdr:row>
          <xdr:rowOff>0</xdr:rowOff>
        </xdr:from>
        <xdr:to>
          <xdr:col>18</xdr:col>
          <xdr:colOff>247650</xdr:colOff>
          <xdr:row>12</xdr:row>
          <xdr:rowOff>28575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12</xdr:row>
          <xdr:rowOff>0</xdr:rowOff>
        </xdr:from>
        <xdr:to>
          <xdr:col>18</xdr:col>
          <xdr:colOff>247650</xdr:colOff>
          <xdr:row>13</xdr:row>
          <xdr:rowOff>28575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13</xdr:row>
          <xdr:rowOff>0</xdr:rowOff>
        </xdr:from>
        <xdr:to>
          <xdr:col>18</xdr:col>
          <xdr:colOff>247650</xdr:colOff>
          <xdr:row>14</xdr:row>
          <xdr:rowOff>19050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14</xdr:row>
          <xdr:rowOff>0</xdr:rowOff>
        </xdr:from>
        <xdr:to>
          <xdr:col>18</xdr:col>
          <xdr:colOff>247650</xdr:colOff>
          <xdr:row>15</xdr:row>
          <xdr:rowOff>28575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15</xdr:row>
          <xdr:rowOff>0</xdr:rowOff>
        </xdr:from>
        <xdr:to>
          <xdr:col>18</xdr:col>
          <xdr:colOff>247650</xdr:colOff>
          <xdr:row>16</xdr:row>
          <xdr:rowOff>28575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16</xdr:row>
          <xdr:rowOff>0</xdr:rowOff>
        </xdr:from>
        <xdr:to>
          <xdr:col>18</xdr:col>
          <xdr:colOff>247650</xdr:colOff>
          <xdr:row>17</xdr:row>
          <xdr:rowOff>28575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17</xdr:row>
          <xdr:rowOff>0</xdr:rowOff>
        </xdr:from>
        <xdr:to>
          <xdr:col>18</xdr:col>
          <xdr:colOff>247650</xdr:colOff>
          <xdr:row>18</xdr:row>
          <xdr:rowOff>28575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18</xdr:row>
          <xdr:rowOff>0</xdr:rowOff>
        </xdr:from>
        <xdr:to>
          <xdr:col>18</xdr:col>
          <xdr:colOff>247650</xdr:colOff>
          <xdr:row>19</xdr:row>
          <xdr:rowOff>19050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19</xdr:row>
          <xdr:rowOff>0</xdr:rowOff>
        </xdr:from>
        <xdr:to>
          <xdr:col>18</xdr:col>
          <xdr:colOff>247650</xdr:colOff>
          <xdr:row>20</xdr:row>
          <xdr:rowOff>28575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20</xdr:row>
          <xdr:rowOff>0</xdr:rowOff>
        </xdr:from>
        <xdr:to>
          <xdr:col>18</xdr:col>
          <xdr:colOff>247650</xdr:colOff>
          <xdr:row>21</xdr:row>
          <xdr:rowOff>28575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21</xdr:row>
          <xdr:rowOff>0</xdr:rowOff>
        </xdr:from>
        <xdr:to>
          <xdr:col>18</xdr:col>
          <xdr:colOff>247650</xdr:colOff>
          <xdr:row>22</xdr:row>
          <xdr:rowOff>28575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22</xdr:row>
          <xdr:rowOff>0</xdr:rowOff>
        </xdr:from>
        <xdr:to>
          <xdr:col>18</xdr:col>
          <xdr:colOff>247650</xdr:colOff>
          <xdr:row>23</xdr:row>
          <xdr:rowOff>28575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23</xdr:row>
          <xdr:rowOff>0</xdr:rowOff>
        </xdr:from>
        <xdr:to>
          <xdr:col>18</xdr:col>
          <xdr:colOff>247650</xdr:colOff>
          <xdr:row>24</xdr:row>
          <xdr:rowOff>19050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24</xdr:row>
          <xdr:rowOff>0</xdr:rowOff>
        </xdr:from>
        <xdr:to>
          <xdr:col>18</xdr:col>
          <xdr:colOff>247650</xdr:colOff>
          <xdr:row>25</xdr:row>
          <xdr:rowOff>28575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25</xdr:row>
          <xdr:rowOff>0</xdr:rowOff>
        </xdr:from>
        <xdr:to>
          <xdr:col>18</xdr:col>
          <xdr:colOff>247650</xdr:colOff>
          <xdr:row>26</xdr:row>
          <xdr:rowOff>28575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26</xdr:row>
          <xdr:rowOff>0</xdr:rowOff>
        </xdr:from>
        <xdr:to>
          <xdr:col>18</xdr:col>
          <xdr:colOff>247650</xdr:colOff>
          <xdr:row>27</xdr:row>
          <xdr:rowOff>28575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27</xdr:row>
          <xdr:rowOff>0</xdr:rowOff>
        </xdr:from>
        <xdr:to>
          <xdr:col>18</xdr:col>
          <xdr:colOff>247650</xdr:colOff>
          <xdr:row>28</xdr:row>
          <xdr:rowOff>28575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28</xdr:row>
          <xdr:rowOff>0</xdr:rowOff>
        </xdr:from>
        <xdr:to>
          <xdr:col>18</xdr:col>
          <xdr:colOff>247650</xdr:colOff>
          <xdr:row>29</xdr:row>
          <xdr:rowOff>19050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29</xdr:row>
          <xdr:rowOff>0</xdr:rowOff>
        </xdr:from>
        <xdr:to>
          <xdr:col>18</xdr:col>
          <xdr:colOff>247650</xdr:colOff>
          <xdr:row>30</xdr:row>
          <xdr:rowOff>28575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30</xdr:row>
          <xdr:rowOff>0</xdr:rowOff>
        </xdr:from>
        <xdr:to>
          <xdr:col>18</xdr:col>
          <xdr:colOff>247650</xdr:colOff>
          <xdr:row>31</xdr:row>
          <xdr:rowOff>28575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31</xdr:row>
          <xdr:rowOff>0</xdr:rowOff>
        </xdr:from>
        <xdr:to>
          <xdr:col>18</xdr:col>
          <xdr:colOff>247650</xdr:colOff>
          <xdr:row>32</xdr:row>
          <xdr:rowOff>28575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32</xdr:row>
          <xdr:rowOff>0</xdr:rowOff>
        </xdr:from>
        <xdr:to>
          <xdr:col>18</xdr:col>
          <xdr:colOff>247650</xdr:colOff>
          <xdr:row>33</xdr:row>
          <xdr:rowOff>19050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33</xdr:row>
          <xdr:rowOff>0</xdr:rowOff>
        </xdr:from>
        <xdr:to>
          <xdr:col>18</xdr:col>
          <xdr:colOff>247650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34</xdr:row>
          <xdr:rowOff>0</xdr:rowOff>
        </xdr:from>
        <xdr:to>
          <xdr:col>18</xdr:col>
          <xdr:colOff>247650</xdr:colOff>
          <xdr:row>35</xdr:row>
          <xdr:rowOff>19050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35</xdr:row>
          <xdr:rowOff>0</xdr:rowOff>
        </xdr:from>
        <xdr:to>
          <xdr:col>18</xdr:col>
          <xdr:colOff>247650</xdr:colOff>
          <xdr:row>36</xdr:row>
          <xdr:rowOff>19050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36</xdr:row>
          <xdr:rowOff>0</xdr:rowOff>
        </xdr:from>
        <xdr:to>
          <xdr:col>18</xdr:col>
          <xdr:colOff>247650</xdr:colOff>
          <xdr:row>37</xdr:row>
          <xdr:rowOff>19050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37</xdr:row>
          <xdr:rowOff>0</xdr:rowOff>
        </xdr:from>
        <xdr:to>
          <xdr:col>18</xdr:col>
          <xdr:colOff>247650</xdr:colOff>
          <xdr:row>38</xdr:row>
          <xdr:rowOff>28575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38</xdr:row>
          <xdr:rowOff>0</xdr:rowOff>
        </xdr:from>
        <xdr:to>
          <xdr:col>18</xdr:col>
          <xdr:colOff>247650</xdr:colOff>
          <xdr:row>39</xdr:row>
          <xdr:rowOff>19050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39</xdr:row>
          <xdr:rowOff>0</xdr:rowOff>
        </xdr:from>
        <xdr:to>
          <xdr:col>18</xdr:col>
          <xdr:colOff>247650</xdr:colOff>
          <xdr:row>40</xdr:row>
          <xdr:rowOff>28575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40</xdr:row>
          <xdr:rowOff>0</xdr:rowOff>
        </xdr:from>
        <xdr:to>
          <xdr:col>18</xdr:col>
          <xdr:colOff>247650</xdr:colOff>
          <xdr:row>41</xdr:row>
          <xdr:rowOff>19050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476250</xdr:rowOff>
        </xdr:from>
        <xdr:to>
          <xdr:col>11</xdr:col>
          <xdr:colOff>295275</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180975</xdr:rowOff>
        </xdr:from>
        <xdr:to>
          <xdr:col>11</xdr:col>
          <xdr:colOff>295275</xdr:colOff>
          <xdr:row>11</xdr:row>
          <xdr:rowOff>28575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180975</xdr:rowOff>
        </xdr:from>
        <xdr:to>
          <xdr:col>11</xdr:col>
          <xdr:colOff>295275</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180975</xdr:rowOff>
        </xdr:from>
        <xdr:to>
          <xdr:col>11</xdr:col>
          <xdr:colOff>295275</xdr:colOff>
          <xdr:row>13</xdr:row>
          <xdr:rowOff>28575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171450</xdr:rowOff>
        </xdr:from>
        <xdr:to>
          <xdr:col>11</xdr:col>
          <xdr:colOff>295275</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171450</xdr:rowOff>
        </xdr:from>
        <xdr:to>
          <xdr:col>11</xdr:col>
          <xdr:colOff>295275</xdr:colOff>
          <xdr:row>17</xdr:row>
          <xdr:rowOff>19050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180975</xdr:rowOff>
        </xdr:from>
        <xdr:to>
          <xdr:col>11</xdr:col>
          <xdr:colOff>295275</xdr:colOff>
          <xdr:row>14</xdr:row>
          <xdr:rowOff>28575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180975</xdr:rowOff>
        </xdr:from>
        <xdr:to>
          <xdr:col>11</xdr:col>
          <xdr:colOff>295275</xdr:colOff>
          <xdr:row>15</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22</xdr:row>
          <xdr:rowOff>152400</xdr:rowOff>
        </xdr:from>
        <xdr:to>
          <xdr:col>11</xdr:col>
          <xdr:colOff>295275</xdr:colOff>
          <xdr:row>24</xdr:row>
          <xdr:rowOff>19050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21</xdr:row>
          <xdr:rowOff>171450</xdr:rowOff>
        </xdr:from>
        <xdr:to>
          <xdr:col>11</xdr:col>
          <xdr:colOff>295275</xdr:colOff>
          <xdr:row>23</xdr:row>
          <xdr:rowOff>19050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20</xdr:row>
          <xdr:rowOff>171450</xdr:rowOff>
        </xdr:from>
        <xdr:to>
          <xdr:col>11</xdr:col>
          <xdr:colOff>295275</xdr:colOff>
          <xdr:row>22</xdr:row>
          <xdr:rowOff>19050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19</xdr:row>
          <xdr:rowOff>171450</xdr:rowOff>
        </xdr:from>
        <xdr:to>
          <xdr:col>11</xdr:col>
          <xdr:colOff>295275</xdr:colOff>
          <xdr:row>21</xdr:row>
          <xdr:rowOff>19050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18</xdr:row>
          <xdr:rowOff>171450</xdr:rowOff>
        </xdr:from>
        <xdr:to>
          <xdr:col>11</xdr:col>
          <xdr:colOff>295275</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17</xdr:row>
          <xdr:rowOff>171450</xdr:rowOff>
        </xdr:from>
        <xdr:to>
          <xdr:col>11</xdr:col>
          <xdr:colOff>295275</xdr:colOff>
          <xdr:row>19</xdr:row>
          <xdr:rowOff>19050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16</xdr:row>
          <xdr:rowOff>171450</xdr:rowOff>
        </xdr:from>
        <xdr:to>
          <xdr:col>11</xdr:col>
          <xdr:colOff>295275</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23</xdr:row>
          <xdr:rowOff>180975</xdr:rowOff>
        </xdr:from>
        <xdr:to>
          <xdr:col>11</xdr:col>
          <xdr:colOff>295275</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24</xdr:row>
          <xdr:rowOff>171450</xdr:rowOff>
        </xdr:from>
        <xdr:to>
          <xdr:col>11</xdr:col>
          <xdr:colOff>295275</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171450</xdr:rowOff>
        </xdr:from>
        <xdr:to>
          <xdr:col>11</xdr:col>
          <xdr:colOff>295275</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26</xdr:row>
          <xdr:rowOff>171450</xdr:rowOff>
        </xdr:from>
        <xdr:to>
          <xdr:col>11</xdr:col>
          <xdr:colOff>295275</xdr:colOff>
          <xdr:row>28</xdr:row>
          <xdr:rowOff>19050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27</xdr:row>
          <xdr:rowOff>171450</xdr:rowOff>
        </xdr:from>
        <xdr:to>
          <xdr:col>11</xdr:col>
          <xdr:colOff>295275</xdr:colOff>
          <xdr:row>29</xdr:row>
          <xdr:rowOff>19050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28</xdr:row>
          <xdr:rowOff>180975</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29</xdr:row>
          <xdr:rowOff>180975</xdr:rowOff>
        </xdr:from>
        <xdr:to>
          <xdr:col>11</xdr:col>
          <xdr:colOff>304800</xdr:colOff>
          <xdr:row>31</xdr:row>
          <xdr:rowOff>28575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30</xdr:row>
          <xdr:rowOff>171450</xdr:rowOff>
        </xdr:from>
        <xdr:to>
          <xdr:col>11</xdr:col>
          <xdr:colOff>304800</xdr:colOff>
          <xdr:row>32</xdr:row>
          <xdr:rowOff>57150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476250</xdr:rowOff>
        </xdr:from>
        <xdr:to>
          <xdr:col>12</xdr:col>
          <xdr:colOff>295275</xdr:colOff>
          <xdr:row>10</xdr:row>
          <xdr:rowOff>57150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295275</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295275</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295275</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295275</xdr:colOff>
          <xdr:row>14</xdr:row>
          <xdr:rowOff>28575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295275</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171450</xdr:rowOff>
        </xdr:from>
        <xdr:to>
          <xdr:col>12</xdr:col>
          <xdr:colOff>295275</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171450</xdr:rowOff>
        </xdr:from>
        <xdr:to>
          <xdr:col>12</xdr:col>
          <xdr:colOff>295275</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180975</xdr:rowOff>
        </xdr:from>
        <xdr:to>
          <xdr:col>12</xdr:col>
          <xdr:colOff>295275</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180975</xdr:rowOff>
        </xdr:from>
        <xdr:to>
          <xdr:col>12</xdr:col>
          <xdr:colOff>295275</xdr:colOff>
          <xdr:row>19</xdr:row>
          <xdr:rowOff>28575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180975</xdr:rowOff>
        </xdr:from>
        <xdr:to>
          <xdr:col>12</xdr:col>
          <xdr:colOff>295275</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171450</xdr:rowOff>
        </xdr:from>
        <xdr:to>
          <xdr:col>12</xdr:col>
          <xdr:colOff>295275</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171450</xdr:rowOff>
        </xdr:from>
        <xdr:to>
          <xdr:col>12</xdr:col>
          <xdr:colOff>295275</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171450</xdr:rowOff>
        </xdr:from>
        <xdr:to>
          <xdr:col>12</xdr:col>
          <xdr:colOff>295275</xdr:colOff>
          <xdr:row>23</xdr:row>
          <xdr:rowOff>19050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171450</xdr:rowOff>
        </xdr:from>
        <xdr:to>
          <xdr:col>12</xdr:col>
          <xdr:colOff>295275</xdr:colOff>
          <xdr:row>24</xdr:row>
          <xdr:rowOff>19050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57150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180975</xdr:rowOff>
        </xdr:from>
        <xdr:to>
          <xdr:col>12</xdr:col>
          <xdr:colOff>295275</xdr:colOff>
          <xdr:row>26</xdr:row>
          <xdr:rowOff>28575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180975</xdr:rowOff>
        </xdr:from>
        <xdr:to>
          <xdr:col>12</xdr:col>
          <xdr:colOff>295275</xdr:colOff>
          <xdr:row>27</xdr:row>
          <xdr:rowOff>28575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180975</xdr:rowOff>
        </xdr:from>
        <xdr:to>
          <xdr:col>12</xdr:col>
          <xdr:colOff>295275</xdr:colOff>
          <xdr:row>28</xdr:row>
          <xdr:rowOff>28575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171450</xdr:rowOff>
        </xdr:from>
        <xdr:to>
          <xdr:col>12</xdr:col>
          <xdr:colOff>295275</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28575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180975</xdr:rowOff>
        </xdr:from>
        <xdr:to>
          <xdr:col>12</xdr:col>
          <xdr:colOff>295275</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285750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180975</xdr:rowOff>
        </xdr:from>
        <xdr:to>
          <xdr:col>11</xdr:col>
          <xdr:colOff>285750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180975</xdr:rowOff>
        </xdr:from>
        <xdr:to>
          <xdr:col>11</xdr:col>
          <xdr:colOff>285750</xdr:colOff>
          <xdr:row>35</xdr:row>
          <xdr:rowOff>19050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180975</xdr:rowOff>
        </xdr:from>
        <xdr:to>
          <xdr:col>11</xdr:col>
          <xdr:colOff>285750</xdr:colOff>
          <xdr:row>36</xdr:row>
          <xdr:rowOff>19050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171450</xdr:rowOff>
        </xdr:from>
        <xdr:to>
          <xdr:col>11</xdr:col>
          <xdr:colOff>285750</xdr:colOff>
          <xdr:row>37</xdr:row>
          <xdr:rowOff>19050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295275</xdr:colOff>
          <xdr:row>33</xdr:row>
          <xdr:rowOff>28575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171450</xdr:rowOff>
        </xdr:from>
        <xdr:to>
          <xdr:col>12</xdr:col>
          <xdr:colOff>295275</xdr:colOff>
          <xdr:row>34</xdr:row>
          <xdr:rowOff>19050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171450</xdr:rowOff>
        </xdr:from>
        <xdr:to>
          <xdr:col>12</xdr:col>
          <xdr:colOff>295275</xdr:colOff>
          <xdr:row>35</xdr:row>
          <xdr:rowOff>19050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171450</xdr:rowOff>
        </xdr:from>
        <xdr:to>
          <xdr:col>12</xdr:col>
          <xdr:colOff>295275</xdr:colOff>
          <xdr:row>36</xdr:row>
          <xdr:rowOff>19050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171450</xdr:rowOff>
        </xdr:from>
        <xdr:to>
          <xdr:col>12</xdr:col>
          <xdr:colOff>295275</xdr:colOff>
          <xdr:row>37</xdr:row>
          <xdr:rowOff>19050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180975</xdr:rowOff>
        </xdr:from>
        <xdr:to>
          <xdr:col>11</xdr:col>
          <xdr:colOff>295275</xdr:colOff>
          <xdr:row>39</xdr:row>
          <xdr:rowOff>19050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180975</xdr:rowOff>
        </xdr:from>
        <xdr:to>
          <xdr:col>11</xdr:col>
          <xdr:colOff>295275</xdr:colOff>
          <xdr:row>40</xdr:row>
          <xdr:rowOff>19050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180975</xdr:rowOff>
        </xdr:from>
        <xdr:to>
          <xdr:col>11</xdr:col>
          <xdr:colOff>295275</xdr:colOff>
          <xdr:row>41</xdr:row>
          <xdr:rowOff>19050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180975</xdr:rowOff>
        </xdr:from>
        <xdr:to>
          <xdr:col>12</xdr:col>
          <xdr:colOff>295275</xdr:colOff>
          <xdr:row>39</xdr:row>
          <xdr:rowOff>19050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180975</xdr:rowOff>
        </xdr:from>
        <xdr:to>
          <xdr:col>12</xdr:col>
          <xdr:colOff>295275</xdr:colOff>
          <xdr:row>40</xdr:row>
          <xdr:rowOff>19050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180975</xdr:rowOff>
        </xdr:from>
        <xdr:to>
          <xdr:col>12</xdr:col>
          <xdr:colOff>295275</xdr:colOff>
          <xdr:row>41</xdr:row>
          <xdr:rowOff>19050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8</xdr:row>
          <xdr:rowOff>361950</xdr:rowOff>
        </xdr:from>
        <xdr:to>
          <xdr:col>22</xdr:col>
          <xdr:colOff>361950</xdr:colOff>
          <xdr:row>10</xdr:row>
          <xdr:rowOff>19050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8</xdr:row>
          <xdr:rowOff>361950</xdr:rowOff>
        </xdr:from>
        <xdr:to>
          <xdr:col>21</xdr:col>
          <xdr:colOff>361950</xdr:colOff>
          <xdr:row>10</xdr:row>
          <xdr:rowOff>28575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9</xdr:row>
          <xdr:rowOff>171450</xdr:rowOff>
        </xdr:from>
        <xdr:to>
          <xdr:col>21</xdr:col>
          <xdr:colOff>371475</xdr:colOff>
          <xdr:row>11</xdr:row>
          <xdr:rowOff>28575</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9</xdr:row>
          <xdr:rowOff>152400</xdr:rowOff>
        </xdr:from>
        <xdr:to>
          <xdr:col>22</xdr:col>
          <xdr:colOff>361950</xdr:colOff>
          <xdr:row>11</xdr:row>
          <xdr:rowOff>28575</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10</xdr:row>
          <xdr:rowOff>171450</xdr:rowOff>
        </xdr:from>
        <xdr:to>
          <xdr:col>21</xdr:col>
          <xdr:colOff>371475</xdr:colOff>
          <xdr:row>12</xdr:row>
          <xdr:rowOff>28575</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10</xdr:row>
          <xdr:rowOff>152400</xdr:rowOff>
        </xdr:from>
        <xdr:to>
          <xdr:col>22</xdr:col>
          <xdr:colOff>361950</xdr:colOff>
          <xdr:row>12</xdr:row>
          <xdr:rowOff>19050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11</xdr:row>
          <xdr:rowOff>171450</xdr:rowOff>
        </xdr:from>
        <xdr:to>
          <xdr:col>21</xdr:col>
          <xdr:colOff>371475</xdr:colOff>
          <xdr:row>13</xdr:row>
          <xdr:rowOff>28575</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11</xdr:row>
          <xdr:rowOff>152400</xdr:rowOff>
        </xdr:from>
        <xdr:to>
          <xdr:col>22</xdr:col>
          <xdr:colOff>361950</xdr:colOff>
          <xdr:row>13</xdr:row>
          <xdr:rowOff>19050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12</xdr:row>
          <xdr:rowOff>171450</xdr:rowOff>
        </xdr:from>
        <xdr:to>
          <xdr:col>21</xdr:col>
          <xdr:colOff>371475</xdr:colOff>
          <xdr:row>14</xdr:row>
          <xdr:rowOff>19050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12</xdr:row>
          <xdr:rowOff>152400</xdr:rowOff>
        </xdr:from>
        <xdr:to>
          <xdr:col>22</xdr:col>
          <xdr:colOff>361950</xdr:colOff>
          <xdr:row>14</xdr:row>
          <xdr:rowOff>19050</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13</xdr:row>
          <xdr:rowOff>171450</xdr:rowOff>
        </xdr:from>
        <xdr:to>
          <xdr:col>21</xdr:col>
          <xdr:colOff>371475</xdr:colOff>
          <xdr:row>15</xdr:row>
          <xdr:rowOff>19050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13</xdr:row>
          <xdr:rowOff>152400</xdr:rowOff>
        </xdr:from>
        <xdr:to>
          <xdr:col>22</xdr:col>
          <xdr:colOff>361950</xdr:colOff>
          <xdr:row>15</xdr:row>
          <xdr:rowOff>19050</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14</xdr:row>
          <xdr:rowOff>171450</xdr:rowOff>
        </xdr:from>
        <xdr:to>
          <xdr:col>21</xdr:col>
          <xdr:colOff>371475</xdr:colOff>
          <xdr:row>16</xdr:row>
          <xdr:rowOff>28575</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14</xdr:row>
          <xdr:rowOff>152400</xdr:rowOff>
        </xdr:from>
        <xdr:to>
          <xdr:col>22</xdr:col>
          <xdr:colOff>361950</xdr:colOff>
          <xdr:row>16</xdr:row>
          <xdr:rowOff>19050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15</xdr:row>
          <xdr:rowOff>171450</xdr:rowOff>
        </xdr:from>
        <xdr:to>
          <xdr:col>21</xdr:col>
          <xdr:colOff>371475</xdr:colOff>
          <xdr:row>17</xdr:row>
          <xdr:rowOff>28575</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15</xdr:row>
          <xdr:rowOff>152400</xdr:rowOff>
        </xdr:from>
        <xdr:to>
          <xdr:col>22</xdr:col>
          <xdr:colOff>361950</xdr:colOff>
          <xdr:row>17</xdr:row>
          <xdr:rowOff>19050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16</xdr:row>
          <xdr:rowOff>171450</xdr:rowOff>
        </xdr:from>
        <xdr:to>
          <xdr:col>21</xdr:col>
          <xdr:colOff>371475</xdr:colOff>
          <xdr:row>18</xdr:row>
          <xdr:rowOff>28575</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16</xdr:row>
          <xdr:rowOff>152400</xdr:rowOff>
        </xdr:from>
        <xdr:to>
          <xdr:col>22</xdr:col>
          <xdr:colOff>361950</xdr:colOff>
          <xdr:row>18</xdr:row>
          <xdr:rowOff>19050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17</xdr:row>
          <xdr:rowOff>171450</xdr:rowOff>
        </xdr:from>
        <xdr:to>
          <xdr:col>21</xdr:col>
          <xdr:colOff>371475</xdr:colOff>
          <xdr:row>19</xdr:row>
          <xdr:rowOff>19050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17</xdr:row>
          <xdr:rowOff>152400</xdr:rowOff>
        </xdr:from>
        <xdr:to>
          <xdr:col>22</xdr:col>
          <xdr:colOff>361950</xdr:colOff>
          <xdr:row>19</xdr:row>
          <xdr:rowOff>19050</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18</xdr:row>
          <xdr:rowOff>171450</xdr:rowOff>
        </xdr:from>
        <xdr:to>
          <xdr:col>21</xdr:col>
          <xdr:colOff>371475</xdr:colOff>
          <xdr:row>20</xdr:row>
          <xdr:rowOff>19050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18</xdr:row>
          <xdr:rowOff>152400</xdr:rowOff>
        </xdr:from>
        <xdr:to>
          <xdr:col>22</xdr:col>
          <xdr:colOff>361950</xdr:colOff>
          <xdr:row>20</xdr:row>
          <xdr:rowOff>19050</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19</xdr:row>
          <xdr:rowOff>171450</xdr:rowOff>
        </xdr:from>
        <xdr:to>
          <xdr:col>21</xdr:col>
          <xdr:colOff>371475</xdr:colOff>
          <xdr:row>21</xdr:row>
          <xdr:rowOff>28575</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19</xdr:row>
          <xdr:rowOff>152400</xdr:rowOff>
        </xdr:from>
        <xdr:to>
          <xdr:col>22</xdr:col>
          <xdr:colOff>361950</xdr:colOff>
          <xdr:row>21</xdr:row>
          <xdr:rowOff>19050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20</xdr:row>
          <xdr:rowOff>171450</xdr:rowOff>
        </xdr:from>
        <xdr:to>
          <xdr:col>21</xdr:col>
          <xdr:colOff>371475</xdr:colOff>
          <xdr:row>22</xdr:row>
          <xdr:rowOff>28575</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20</xdr:row>
          <xdr:rowOff>152400</xdr:rowOff>
        </xdr:from>
        <xdr:to>
          <xdr:col>22</xdr:col>
          <xdr:colOff>361950</xdr:colOff>
          <xdr:row>22</xdr:row>
          <xdr:rowOff>19050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21</xdr:row>
          <xdr:rowOff>171450</xdr:rowOff>
        </xdr:from>
        <xdr:to>
          <xdr:col>21</xdr:col>
          <xdr:colOff>371475</xdr:colOff>
          <xdr:row>23</xdr:row>
          <xdr:rowOff>28575</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21</xdr:row>
          <xdr:rowOff>152400</xdr:rowOff>
        </xdr:from>
        <xdr:to>
          <xdr:col>22</xdr:col>
          <xdr:colOff>361950</xdr:colOff>
          <xdr:row>23</xdr:row>
          <xdr:rowOff>19050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22</xdr:row>
          <xdr:rowOff>171450</xdr:rowOff>
        </xdr:from>
        <xdr:to>
          <xdr:col>21</xdr:col>
          <xdr:colOff>371475</xdr:colOff>
          <xdr:row>24</xdr:row>
          <xdr:rowOff>19050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22</xdr:row>
          <xdr:rowOff>152400</xdr:rowOff>
        </xdr:from>
        <xdr:to>
          <xdr:col>22</xdr:col>
          <xdr:colOff>361950</xdr:colOff>
          <xdr:row>24</xdr:row>
          <xdr:rowOff>19050</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23</xdr:row>
          <xdr:rowOff>171450</xdr:rowOff>
        </xdr:from>
        <xdr:to>
          <xdr:col>21</xdr:col>
          <xdr:colOff>371475</xdr:colOff>
          <xdr:row>25</xdr:row>
          <xdr:rowOff>19050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23</xdr:row>
          <xdr:rowOff>152400</xdr:rowOff>
        </xdr:from>
        <xdr:to>
          <xdr:col>22</xdr:col>
          <xdr:colOff>361950</xdr:colOff>
          <xdr:row>25</xdr:row>
          <xdr:rowOff>19050</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24</xdr:row>
          <xdr:rowOff>171450</xdr:rowOff>
        </xdr:from>
        <xdr:to>
          <xdr:col>21</xdr:col>
          <xdr:colOff>371475</xdr:colOff>
          <xdr:row>26</xdr:row>
          <xdr:rowOff>28575</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24</xdr:row>
          <xdr:rowOff>152400</xdr:rowOff>
        </xdr:from>
        <xdr:to>
          <xdr:col>22</xdr:col>
          <xdr:colOff>361950</xdr:colOff>
          <xdr:row>26</xdr:row>
          <xdr:rowOff>19050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25</xdr:row>
          <xdr:rowOff>171450</xdr:rowOff>
        </xdr:from>
        <xdr:to>
          <xdr:col>21</xdr:col>
          <xdr:colOff>371475</xdr:colOff>
          <xdr:row>27</xdr:row>
          <xdr:rowOff>28575</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25</xdr:row>
          <xdr:rowOff>152400</xdr:rowOff>
        </xdr:from>
        <xdr:to>
          <xdr:col>22</xdr:col>
          <xdr:colOff>361950</xdr:colOff>
          <xdr:row>27</xdr:row>
          <xdr:rowOff>19050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26</xdr:row>
          <xdr:rowOff>171450</xdr:rowOff>
        </xdr:from>
        <xdr:to>
          <xdr:col>21</xdr:col>
          <xdr:colOff>371475</xdr:colOff>
          <xdr:row>28</xdr:row>
          <xdr:rowOff>28575</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26</xdr:row>
          <xdr:rowOff>152400</xdr:rowOff>
        </xdr:from>
        <xdr:to>
          <xdr:col>22</xdr:col>
          <xdr:colOff>361950</xdr:colOff>
          <xdr:row>28</xdr:row>
          <xdr:rowOff>19050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27</xdr:row>
          <xdr:rowOff>171450</xdr:rowOff>
        </xdr:from>
        <xdr:to>
          <xdr:col>21</xdr:col>
          <xdr:colOff>371475</xdr:colOff>
          <xdr:row>29</xdr:row>
          <xdr:rowOff>19050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27</xdr:row>
          <xdr:rowOff>152400</xdr:rowOff>
        </xdr:from>
        <xdr:to>
          <xdr:col>22</xdr:col>
          <xdr:colOff>361950</xdr:colOff>
          <xdr:row>29</xdr:row>
          <xdr:rowOff>19050</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28</xdr:row>
          <xdr:rowOff>171450</xdr:rowOff>
        </xdr:from>
        <xdr:to>
          <xdr:col>21</xdr:col>
          <xdr:colOff>371475</xdr:colOff>
          <xdr:row>30</xdr:row>
          <xdr:rowOff>19050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28</xdr:row>
          <xdr:rowOff>152400</xdr:rowOff>
        </xdr:from>
        <xdr:to>
          <xdr:col>22</xdr:col>
          <xdr:colOff>361950</xdr:colOff>
          <xdr:row>30</xdr:row>
          <xdr:rowOff>19050</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29</xdr:row>
          <xdr:rowOff>171450</xdr:rowOff>
        </xdr:from>
        <xdr:to>
          <xdr:col>21</xdr:col>
          <xdr:colOff>371475</xdr:colOff>
          <xdr:row>31</xdr:row>
          <xdr:rowOff>28575</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29</xdr:row>
          <xdr:rowOff>152400</xdr:rowOff>
        </xdr:from>
        <xdr:to>
          <xdr:col>22</xdr:col>
          <xdr:colOff>361950</xdr:colOff>
          <xdr:row>31</xdr:row>
          <xdr:rowOff>19050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30</xdr:row>
          <xdr:rowOff>171450</xdr:rowOff>
        </xdr:from>
        <xdr:to>
          <xdr:col>21</xdr:col>
          <xdr:colOff>371475</xdr:colOff>
          <xdr:row>32</xdr:row>
          <xdr:rowOff>28575</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30</xdr:row>
          <xdr:rowOff>152400</xdr:rowOff>
        </xdr:from>
        <xdr:to>
          <xdr:col>22</xdr:col>
          <xdr:colOff>361950</xdr:colOff>
          <xdr:row>32</xdr:row>
          <xdr:rowOff>19050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31</xdr:row>
          <xdr:rowOff>171450</xdr:rowOff>
        </xdr:from>
        <xdr:to>
          <xdr:col>21</xdr:col>
          <xdr:colOff>371475</xdr:colOff>
          <xdr:row>33</xdr:row>
          <xdr:rowOff>28575</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31</xdr:row>
          <xdr:rowOff>152400</xdr:rowOff>
        </xdr:from>
        <xdr:to>
          <xdr:col>22</xdr:col>
          <xdr:colOff>361950</xdr:colOff>
          <xdr:row>33</xdr:row>
          <xdr:rowOff>19050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32</xdr:row>
          <xdr:rowOff>171450</xdr:rowOff>
        </xdr:from>
        <xdr:to>
          <xdr:col>21</xdr:col>
          <xdr:colOff>371475</xdr:colOff>
          <xdr:row>34</xdr:row>
          <xdr:rowOff>19050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32</xdr:row>
          <xdr:rowOff>152400</xdr:rowOff>
        </xdr:from>
        <xdr:to>
          <xdr:col>22</xdr:col>
          <xdr:colOff>361950</xdr:colOff>
          <xdr:row>34</xdr:row>
          <xdr:rowOff>19050</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33</xdr:row>
          <xdr:rowOff>171450</xdr:rowOff>
        </xdr:from>
        <xdr:to>
          <xdr:col>21</xdr:col>
          <xdr:colOff>371475</xdr:colOff>
          <xdr:row>35</xdr:row>
          <xdr:rowOff>19050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33</xdr:row>
          <xdr:rowOff>152400</xdr:rowOff>
        </xdr:from>
        <xdr:to>
          <xdr:col>22</xdr:col>
          <xdr:colOff>361950</xdr:colOff>
          <xdr:row>35</xdr:row>
          <xdr:rowOff>19050</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34</xdr:row>
          <xdr:rowOff>171450</xdr:rowOff>
        </xdr:from>
        <xdr:to>
          <xdr:col>21</xdr:col>
          <xdr:colOff>371475</xdr:colOff>
          <xdr:row>36</xdr:row>
          <xdr:rowOff>28575</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34</xdr:row>
          <xdr:rowOff>152400</xdr:rowOff>
        </xdr:from>
        <xdr:to>
          <xdr:col>22</xdr:col>
          <xdr:colOff>361950</xdr:colOff>
          <xdr:row>36</xdr:row>
          <xdr:rowOff>19050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35</xdr:row>
          <xdr:rowOff>171450</xdr:rowOff>
        </xdr:from>
        <xdr:to>
          <xdr:col>21</xdr:col>
          <xdr:colOff>371475</xdr:colOff>
          <xdr:row>37</xdr:row>
          <xdr:rowOff>28575</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152400</xdr:rowOff>
        </xdr:from>
        <xdr:to>
          <xdr:col>22</xdr:col>
          <xdr:colOff>361950</xdr:colOff>
          <xdr:row>37</xdr:row>
          <xdr:rowOff>19050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36</xdr:row>
          <xdr:rowOff>171450</xdr:rowOff>
        </xdr:from>
        <xdr:to>
          <xdr:col>21</xdr:col>
          <xdr:colOff>371475</xdr:colOff>
          <xdr:row>38</xdr:row>
          <xdr:rowOff>28575</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36</xdr:row>
          <xdr:rowOff>152400</xdr:rowOff>
        </xdr:from>
        <xdr:to>
          <xdr:col>22</xdr:col>
          <xdr:colOff>361950</xdr:colOff>
          <xdr:row>38</xdr:row>
          <xdr:rowOff>19050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37</xdr:row>
          <xdr:rowOff>171450</xdr:rowOff>
        </xdr:from>
        <xdr:to>
          <xdr:col>21</xdr:col>
          <xdr:colOff>371475</xdr:colOff>
          <xdr:row>39</xdr:row>
          <xdr:rowOff>19050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37</xdr:row>
          <xdr:rowOff>152400</xdr:rowOff>
        </xdr:from>
        <xdr:to>
          <xdr:col>22</xdr:col>
          <xdr:colOff>361950</xdr:colOff>
          <xdr:row>39</xdr:row>
          <xdr:rowOff>19050</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38</xdr:row>
          <xdr:rowOff>171450</xdr:rowOff>
        </xdr:from>
        <xdr:to>
          <xdr:col>21</xdr:col>
          <xdr:colOff>371475</xdr:colOff>
          <xdr:row>40</xdr:row>
          <xdr:rowOff>19050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38</xdr:row>
          <xdr:rowOff>152400</xdr:rowOff>
        </xdr:from>
        <xdr:to>
          <xdr:col>22</xdr:col>
          <xdr:colOff>361950</xdr:colOff>
          <xdr:row>40</xdr:row>
          <xdr:rowOff>19050</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39</xdr:row>
          <xdr:rowOff>171450</xdr:rowOff>
        </xdr:from>
        <xdr:to>
          <xdr:col>21</xdr:col>
          <xdr:colOff>371475</xdr:colOff>
          <xdr:row>41</xdr:row>
          <xdr:rowOff>19050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152400</xdr:rowOff>
        </xdr:from>
        <xdr:to>
          <xdr:col>22</xdr:col>
          <xdr:colOff>361950</xdr:colOff>
          <xdr:row>41</xdr:row>
          <xdr:rowOff>19050</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7"/>
    <tableColumn id="2" xr3:uid="{00000000-0010-0000-0000-000002000000}" name="Tail Letter" dataDxfId="2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Pilots" displayName="Pilots" ref="A9:C35" totalsRowShown="0">
  <autoFilter ref="A9:C35" xr:uid="{D650BB46-EC49-4163-9310-A834B654682A}"/>
  <tableColumns count="3">
    <tableColumn id="1" xr3:uid="{EDA88DDF-B7BB-4636-B1DC-3C3E8E3B8767}" name="SN Last 4" dataDxfId="25"/>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67F050-9B87-492A-B964-C57DC0069297}" name="Duty" displayName="Duty" ref="D1:D7" totalsRowShown="0" headerRowDxfId="24">
  <autoFilter ref="D1:D7" xr:uid="{E267F050-9B87-492A-B964-C57DC0069297}"/>
  <tableColumns count="1">
    <tableColumn id="1" xr3:uid="{4C9683E5-F7A6-4CF2-BC82-F18DBAFF4359}" name="Du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AC_Summary" displayName="AC_Summary"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Normal="100" zoomScaleSheetLayoutView="115" workbookViewId="0">
      <pane ySplit="9" topLeftCell="A10" activePane="bottomLeft" state="frozen"/>
      <selection pane="bottomLeft" activeCell="F2" sqref="F2"/>
    </sheetView>
  </sheetViews>
  <sheetFormatPr defaultColWidth="8.5703125" defaultRowHeight="14.25" x14ac:dyDescent="0.2"/>
  <cols>
    <col min="1" max="1" width="4.28515625" style="13" customWidth="1"/>
    <col min="2" max="3" width="16.5703125" style="13" customWidth="1"/>
    <col min="4" max="4" width="9.42578125" style="13" customWidth="1"/>
    <col min="5" max="5" width="9.7109375" style="13" customWidth="1"/>
    <col min="6" max="6" width="9.7109375" style="13" bestFit="1" customWidth="1"/>
    <col min="7" max="13" width="5.5703125" style="13" customWidth="1"/>
    <col min="14" max="14" width="6.5703125" style="13" customWidth="1"/>
    <col min="15" max="18" width="5.5703125" style="13" customWidth="1"/>
    <col min="19" max="19" width="5.28515625" style="13" customWidth="1"/>
    <col min="20" max="20" width="7.42578125" style="13" customWidth="1"/>
    <col min="21" max="21" width="10" style="13" hidden="1" customWidth="1"/>
    <col min="22" max="22" width="7.7109375" style="13" bestFit="1" customWidth="1"/>
    <col min="23" max="23" width="7.5703125" style="13" bestFit="1" customWidth="1"/>
    <col min="24" max="16384" width="8.5703125" style="13"/>
  </cols>
  <sheetData>
    <row r="1" spans="1:26" ht="5.25" customHeight="1" x14ac:dyDescent="0.2"/>
    <row r="2" spans="1:26" ht="14.65" customHeight="1" x14ac:dyDescent="0.25">
      <c r="C2" s="68" t="s">
        <v>1</v>
      </c>
      <c r="D2" s="243" t="s">
        <v>2</v>
      </c>
      <c r="E2" s="243"/>
      <c r="F2" s="129"/>
      <c r="G2" s="52"/>
      <c r="H2" s="243" t="s">
        <v>3</v>
      </c>
      <c r="I2" s="243"/>
      <c r="J2" s="243"/>
      <c r="K2" s="243"/>
      <c r="L2" s="52" t="str">
        <f>IF($F2="", "",VLOOKUP(F2,Aircraft[#All],2,FALSE))</f>
        <v/>
      </c>
      <c r="N2" s="52" t="s">
        <v>4</v>
      </c>
      <c r="O2" s="244"/>
      <c r="P2" s="244"/>
      <c r="Q2" s="244"/>
    </row>
    <row r="3" spans="1:26" ht="6" customHeight="1" thickBot="1" x14ac:dyDescent="0.3">
      <c r="C3" s="68"/>
      <c r="D3" s="69"/>
      <c r="E3" s="69"/>
      <c r="F3" s="50"/>
      <c r="G3" s="250"/>
      <c r="H3" s="250"/>
      <c r="I3" s="250"/>
      <c r="J3" s="250"/>
      <c r="K3" s="250"/>
      <c r="L3" s="250"/>
      <c r="M3" s="250"/>
      <c r="N3" s="250"/>
      <c r="O3" s="250"/>
      <c r="P3" s="250"/>
      <c r="Q3" s="250"/>
      <c r="R3" s="250"/>
      <c r="S3" s="250"/>
      <c r="T3" s="250"/>
      <c r="U3" s="50"/>
    </row>
    <row r="4" spans="1:26" ht="30" customHeight="1" thickBot="1" x14ac:dyDescent="0.3">
      <c r="B4" s="70" t="s">
        <v>139</v>
      </c>
      <c r="C4" s="222"/>
      <c r="D4" s="69"/>
      <c r="E4" s="71"/>
      <c r="F4" s="72"/>
      <c r="H4" s="6"/>
      <c r="I4" s="6"/>
      <c r="J4" s="6"/>
      <c r="K4" s="71"/>
      <c r="L4" s="71"/>
      <c r="M4" s="71"/>
      <c r="N4" s="71"/>
      <c r="O4" s="73"/>
      <c r="P4" s="73"/>
      <c r="Q4" s="73"/>
      <c r="R4" s="73"/>
      <c r="S4" s="74"/>
      <c r="T4" s="74"/>
      <c r="U4" s="74"/>
    </row>
    <row r="5" spans="1:26" ht="30" customHeight="1" thickBot="1" x14ac:dyDescent="0.3">
      <c r="B5" s="70" t="s">
        <v>131</v>
      </c>
      <c r="C5" s="221"/>
      <c r="D5" s="69"/>
      <c r="E5" s="251" t="s">
        <v>136</v>
      </c>
      <c r="F5" s="252"/>
      <c r="G5" s="253"/>
      <c r="H5" s="254"/>
      <c r="I5" s="6"/>
      <c r="J5" s="6"/>
      <c r="K5" s="76"/>
      <c r="L5" s="76"/>
      <c r="M5" s="77"/>
      <c r="N5" s="77"/>
      <c r="O5" s="73"/>
      <c r="P5" s="73"/>
      <c r="Q5" s="73"/>
      <c r="R5" s="249" t="s">
        <v>132</v>
      </c>
      <c r="S5" s="249"/>
      <c r="T5" s="249"/>
      <c r="U5" s="77"/>
    </row>
    <row r="6" spans="1:26" ht="7.5" customHeight="1" thickBot="1" x14ac:dyDescent="0.3">
      <c r="C6" s="68"/>
      <c r="D6" s="69"/>
      <c r="E6" s="75"/>
      <c r="F6" s="75"/>
      <c r="G6" s="278"/>
      <c r="H6" s="278"/>
      <c r="I6" s="272"/>
      <c r="J6" s="272"/>
      <c r="K6" s="272"/>
      <c r="L6" s="272"/>
      <c r="M6" s="273"/>
      <c r="N6" s="273"/>
      <c r="O6" s="274"/>
      <c r="P6" s="274"/>
      <c r="Q6" s="274"/>
      <c r="R6" s="274"/>
      <c r="S6" s="273"/>
      <c r="T6" s="273"/>
      <c r="U6" s="273"/>
    </row>
    <row r="7" spans="1:26" ht="12" customHeight="1" x14ac:dyDescent="0.2">
      <c r="A7" s="227" t="s">
        <v>5</v>
      </c>
      <c r="B7" s="78"/>
      <c r="C7" s="79"/>
      <c r="D7" s="80"/>
      <c r="E7" s="81"/>
      <c r="F7" s="82"/>
      <c r="G7" s="235" t="s">
        <v>6</v>
      </c>
      <c r="H7" s="236"/>
      <c r="I7" s="237"/>
      <c r="J7" s="235" t="s">
        <v>7</v>
      </c>
      <c r="K7" s="238"/>
      <c r="L7" s="227" t="s">
        <v>8</v>
      </c>
      <c r="M7" s="233"/>
      <c r="N7" s="230" t="s">
        <v>9</v>
      </c>
      <c r="O7" s="241" t="s">
        <v>10</v>
      </c>
      <c r="P7" s="245" t="s">
        <v>11</v>
      </c>
      <c r="Q7" s="236"/>
      <c r="R7" s="237"/>
      <c r="S7" s="275" t="s">
        <v>12</v>
      </c>
      <c r="T7" s="241" t="s">
        <v>13</v>
      </c>
    </row>
    <row r="8" spans="1:26" ht="13.5" customHeight="1" x14ac:dyDescent="0.2">
      <c r="A8" s="228"/>
      <c r="B8" s="83"/>
      <c r="C8" s="84"/>
      <c r="D8" s="85"/>
      <c r="E8" s="86"/>
      <c r="F8" s="86"/>
      <c r="G8" s="87" t="s">
        <v>14</v>
      </c>
      <c r="H8" s="88" t="s">
        <v>99</v>
      </c>
      <c r="I8" s="89" t="s">
        <v>100</v>
      </c>
      <c r="J8" s="87" t="s">
        <v>17</v>
      </c>
      <c r="K8" s="90" t="s">
        <v>18</v>
      </c>
      <c r="L8" s="228"/>
      <c r="M8" s="234"/>
      <c r="N8" s="231"/>
      <c r="O8" s="242"/>
      <c r="P8" s="246"/>
      <c r="Q8" s="247"/>
      <c r="R8" s="248"/>
      <c r="S8" s="276"/>
      <c r="T8" s="242"/>
    </row>
    <row r="9" spans="1:26" ht="30" customHeight="1" thickBot="1" x14ac:dyDescent="0.25">
      <c r="A9" s="229"/>
      <c r="B9" s="83" t="s">
        <v>19</v>
      </c>
      <c r="C9" s="83" t="s">
        <v>20</v>
      </c>
      <c r="D9" s="160" t="s">
        <v>21</v>
      </c>
      <c r="E9" s="161" t="s">
        <v>22</v>
      </c>
      <c r="F9" s="161" t="s">
        <v>23</v>
      </c>
      <c r="G9" s="92" t="s">
        <v>24</v>
      </c>
      <c r="H9" s="93" t="s">
        <v>25</v>
      </c>
      <c r="I9" s="94" t="s">
        <v>26</v>
      </c>
      <c r="J9" s="92" t="s">
        <v>27</v>
      </c>
      <c r="K9" s="95" t="s">
        <v>28</v>
      </c>
      <c r="L9" s="92" t="s">
        <v>29</v>
      </c>
      <c r="M9" s="94" t="s">
        <v>30</v>
      </c>
      <c r="N9" s="232"/>
      <c r="O9" s="242"/>
      <c r="P9" s="92">
        <v>1</v>
      </c>
      <c r="Q9" s="93">
        <v>6</v>
      </c>
      <c r="R9" s="94">
        <v>7</v>
      </c>
      <c r="S9" s="277"/>
      <c r="T9" s="242"/>
      <c r="U9" s="13" t="s">
        <v>154</v>
      </c>
      <c r="V9" s="13" t="s">
        <v>155</v>
      </c>
      <c r="W9" s="43" t="s">
        <v>153</v>
      </c>
    </row>
    <row r="10" spans="1:26" x14ac:dyDescent="0.2">
      <c r="A10" s="96">
        <v>1</v>
      </c>
      <c r="B10" s="59"/>
      <c r="C10" s="223"/>
      <c r="D10" s="60"/>
      <c r="E10" s="162"/>
      <c r="F10" s="162"/>
      <c r="G10" s="165" t="str">
        <f>IF($D10="","",IF($D10=G$8,$F10-$E10,""))</f>
        <v/>
      </c>
      <c r="H10" s="98" t="str">
        <f>IF($D10="","",IF($D10=H$8,$F10-$E10,""))</f>
        <v/>
      </c>
      <c r="I10" s="100" t="str">
        <f t="shared" ref="H10:I25" si="0">IF($D10="","",IF($D10=I$8,$F10-$E10,""))</f>
        <v/>
      </c>
      <c r="J10" s="97" t="str">
        <f>IF($D10="","",IF($D10=CONCATENATE(J$7," ",J$8),$F10-$E10,""))</f>
        <v/>
      </c>
      <c r="K10" s="99" t="str">
        <f>IF($D10="","",IF($D10=CONCATENATE(J$7," ",K$8),$F10-$E10,""))</f>
        <v/>
      </c>
      <c r="L10" s="65"/>
      <c r="M10" s="60"/>
      <c r="N10" s="168" t="str">
        <f t="shared" ref="N10:N32" si="1">IF($D10="","",IF($D10="PAX",$F10-$E10,""))</f>
        <v/>
      </c>
      <c r="O10" s="111" t="str">
        <f>IF(ISBLANK(F10),"",IF(W10=TRUE,7,IF(V10=TRUE,6,1)))</f>
        <v/>
      </c>
      <c r="P10" s="97" t="str">
        <f>IF($O10=P$9,F10-E10,"")</f>
        <v/>
      </c>
      <c r="Q10" s="98" t="str">
        <f>IF($O10=6,F10-E10,"")</f>
        <v/>
      </c>
      <c r="R10" s="99" t="str">
        <f>IF($O10=R$9,F10-E10,"")</f>
        <v/>
      </c>
      <c r="S10" s="171"/>
      <c r="T10" s="213"/>
      <c r="U10" s="210" t="str">
        <f>IF($G$5=A10,"Max Launches","")</f>
        <v/>
      </c>
      <c r="V10" s="216" t="b">
        <v>0</v>
      </c>
      <c r="W10" s="216" t="b">
        <v>0</v>
      </c>
      <c r="Y10" s="209"/>
      <c r="Z10" s="209"/>
    </row>
    <row r="11" spans="1:26" x14ac:dyDescent="0.2">
      <c r="A11" s="87">
        <v>2</v>
      </c>
      <c r="B11" s="63"/>
      <c r="C11" s="224"/>
      <c r="D11" s="61"/>
      <c r="E11" s="163"/>
      <c r="F11" s="163"/>
      <c r="G11" s="166" t="str">
        <f>IF($D11="","",IF($D11=G$8,$F11-$E11,""))</f>
        <v/>
      </c>
      <c r="H11" s="102" t="str">
        <f>IF($D11="","",IF($D11=H$8,$F11-$E11,""))</f>
        <v/>
      </c>
      <c r="I11" s="104" t="str">
        <f t="shared" si="0"/>
        <v/>
      </c>
      <c r="J11" s="101" t="str">
        <f t="shared" ref="J11:J32" si="2">IF($D11="","",IF($D11=CONCATENATE(J$7," ",J$8),$F11-$E11,""))</f>
        <v/>
      </c>
      <c r="K11" s="103" t="str">
        <f t="shared" ref="K11:K32" si="3">IF($D11="","",IF($D11=CONCATENATE(J$7," ",K$8),$F11-$E11,""))</f>
        <v/>
      </c>
      <c r="L11" s="66"/>
      <c r="M11" s="61"/>
      <c r="N11" s="169" t="str">
        <f t="shared" si="1"/>
        <v/>
      </c>
      <c r="O11" s="112" t="str">
        <f>IF(ISBLANK(F11), "", IF(W11=TRUE,7,IF(V11=TRUE,6,1)))</f>
        <v/>
      </c>
      <c r="P11" s="101" t="str">
        <f>IF($O11=P$9,F11-E11,"")</f>
        <v/>
      </c>
      <c r="Q11" s="102" t="str">
        <f>IF($O11=6,F11-E11,"")</f>
        <v/>
      </c>
      <c r="R11" s="103" t="str">
        <f t="shared" ref="R11:R32" si="4">IF($O11=R$9,F11-E11,"")</f>
        <v/>
      </c>
      <c r="S11" s="172"/>
      <c r="T11" s="214"/>
      <c r="U11" s="211" t="str">
        <f t="shared" ref="U11:U41" si="5">IF($G$5=A11,"Max Launches","")</f>
        <v/>
      </c>
      <c r="V11" s="217" t="b">
        <v>0</v>
      </c>
      <c r="W11" s="217" t="b">
        <v>0</v>
      </c>
      <c r="Z11" s="220"/>
    </row>
    <row r="12" spans="1:26" x14ac:dyDescent="0.2">
      <c r="A12" s="87">
        <v>3</v>
      </c>
      <c r="B12" s="63"/>
      <c r="C12" s="224"/>
      <c r="D12" s="61"/>
      <c r="E12" s="163"/>
      <c r="F12" s="163"/>
      <c r="G12" s="166" t="str">
        <f t="shared" ref="G12:G32" si="6">IF($D12="","",IF($D12=G$8,$F12-$E12,""))</f>
        <v/>
      </c>
      <c r="H12" s="102" t="str">
        <f t="shared" si="0"/>
        <v/>
      </c>
      <c r="I12" s="104" t="str">
        <f t="shared" si="0"/>
        <v/>
      </c>
      <c r="J12" s="101" t="str">
        <f t="shared" si="2"/>
        <v/>
      </c>
      <c r="K12" s="103" t="str">
        <f t="shared" si="3"/>
        <v/>
      </c>
      <c r="L12" s="66"/>
      <c r="M12" s="61"/>
      <c r="N12" s="169" t="str">
        <f t="shared" si="1"/>
        <v/>
      </c>
      <c r="O12" s="112" t="str">
        <f t="shared" ref="O12:O41" si="7">IF(ISBLANK(F12), "", IF(W12=TRUE,7,IF(V12=TRUE,6,1)))</f>
        <v/>
      </c>
      <c r="P12" s="101" t="str">
        <f t="shared" ref="P12:P32" si="8">IF($O12=P$9,F12-E12,"")</f>
        <v/>
      </c>
      <c r="Q12" s="102" t="str">
        <f t="shared" ref="Q12:Q32" si="9">IF($O12=6,F12-E12,"")</f>
        <v/>
      </c>
      <c r="R12" s="103" t="str">
        <f t="shared" si="4"/>
        <v/>
      </c>
      <c r="S12" s="172"/>
      <c r="T12" s="214"/>
      <c r="U12" s="211" t="str">
        <f t="shared" si="5"/>
        <v/>
      </c>
      <c r="V12" s="217" t="b">
        <v>0</v>
      </c>
      <c r="W12" s="217" t="b">
        <v>0</v>
      </c>
    </row>
    <row r="13" spans="1:26" x14ac:dyDescent="0.2">
      <c r="A13" s="87">
        <v>4</v>
      </c>
      <c r="B13" s="63"/>
      <c r="C13" s="224"/>
      <c r="D13" s="61"/>
      <c r="E13" s="163"/>
      <c r="F13" s="163"/>
      <c r="G13" s="166" t="str">
        <f t="shared" si="6"/>
        <v/>
      </c>
      <c r="H13" s="102" t="str">
        <f t="shared" si="0"/>
        <v/>
      </c>
      <c r="I13" s="104" t="str">
        <f t="shared" si="0"/>
        <v/>
      </c>
      <c r="J13" s="101" t="str">
        <f t="shared" si="2"/>
        <v/>
      </c>
      <c r="K13" s="103" t="str">
        <f t="shared" ref="K13" si="10">IF($D13="","",IF($D13=CONCATENATE(J$7," ",K$8),$F13-$E13,""))</f>
        <v/>
      </c>
      <c r="L13" s="66"/>
      <c r="M13" s="61"/>
      <c r="N13" s="169" t="str">
        <f t="shared" si="1"/>
        <v/>
      </c>
      <c r="O13" s="112" t="str">
        <f t="shared" si="7"/>
        <v/>
      </c>
      <c r="P13" s="101" t="str">
        <f t="shared" ref="P13" si="11">IF($O13=P$9,F13-E13,"")</f>
        <v/>
      </c>
      <c r="Q13" s="102" t="str">
        <f t="shared" ref="Q13" si="12">IF($O13=6,F13-E13,"")</f>
        <v/>
      </c>
      <c r="R13" s="103" t="str">
        <f t="shared" ref="R13" si="13">IF($O13=R$9,F13-E13,"")</f>
        <v/>
      </c>
      <c r="S13" s="172"/>
      <c r="T13" s="214"/>
      <c r="U13" s="211" t="str">
        <f t="shared" si="5"/>
        <v/>
      </c>
      <c r="V13" s="217" t="b">
        <v>0</v>
      </c>
      <c r="W13" s="217" t="b">
        <v>0</v>
      </c>
    </row>
    <row r="14" spans="1:26" ht="15" thickBot="1" x14ac:dyDescent="0.25">
      <c r="A14" s="105">
        <v>5</v>
      </c>
      <c r="B14" s="64"/>
      <c r="C14" s="225"/>
      <c r="D14" s="62"/>
      <c r="E14" s="164"/>
      <c r="F14" s="164"/>
      <c r="G14" s="167" t="str">
        <f t="shared" si="6"/>
        <v/>
      </c>
      <c r="H14" s="107" t="str">
        <f t="shared" si="0"/>
        <v/>
      </c>
      <c r="I14" s="109" t="str">
        <f t="shared" si="0"/>
        <v/>
      </c>
      <c r="J14" s="106" t="str">
        <f t="shared" si="2"/>
        <v/>
      </c>
      <c r="K14" s="108" t="str">
        <f t="shared" si="3"/>
        <v/>
      </c>
      <c r="L14" s="67"/>
      <c r="M14" s="62"/>
      <c r="N14" s="170" t="str">
        <f t="shared" si="1"/>
        <v/>
      </c>
      <c r="O14" s="110" t="str">
        <f t="shared" si="7"/>
        <v/>
      </c>
      <c r="P14" s="106" t="str">
        <f t="shared" si="8"/>
        <v/>
      </c>
      <c r="Q14" s="107" t="str">
        <f t="shared" si="9"/>
        <v/>
      </c>
      <c r="R14" s="108" t="str">
        <f t="shared" si="4"/>
        <v/>
      </c>
      <c r="S14" s="173"/>
      <c r="T14" s="215"/>
      <c r="U14" s="211" t="str">
        <f t="shared" si="5"/>
        <v/>
      </c>
      <c r="V14" s="219" t="b">
        <v>0</v>
      </c>
      <c r="W14" s="219" t="b">
        <v>0</v>
      </c>
    </row>
    <row r="15" spans="1:26" x14ac:dyDescent="0.2">
      <c r="A15" s="96">
        <v>6</v>
      </c>
      <c r="B15" s="59"/>
      <c r="C15" s="223"/>
      <c r="D15" s="60"/>
      <c r="E15" s="162"/>
      <c r="F15" s="162"/>
      <c r="G15" s="165" t="str">
        <f t="shared" si="6"/>
        <v/>
      </c>
      <c r="H15" s="98" t="str">
        <f t="shared" si="0"/>
        <v/>
      </c>
      <c r="I15" s="100" t="str">
        <f t="shared" si="0"/>
        <v/>
      </c>
      <c r="J15" s="97" t="str">
        <f t="shared" si="2"/>
        <v/>
      </c>
      <c r="K15" s="99" t="str">
        <f t="shared" si="3"/>
        <v/>
      </c>
      <c r="L15" s="65"/>
      <c r="M15" s="60"/>
      <c r="N15" s="168" t="str">
        <f t="shared" si="1"/>
        <v/>
      </c>
      <c r="O15" s="111" t="str">
        <f t="shared" si="7"/>
        <v/>
      </c>
      <c r="P15" s="97" t="str">
        <f t="shared" si="8"/>
        <v/>
      </c>
      <c r="Q15" s="98" t="str">
        <f t="shared" si="9"/>
        <v/>
      </c>
      <c r="R15" s="99" t="str">
        <f t="shared" si="4"/>
        <v/>
      </c>
      <c r="S15" s="171"/>
      <c r="T15" s="213"/>
      <c r="U15" s="211" t="str">
        <f t="shared" si="5"/>
        <v/>
      </c>
      <c r="V15" s="218" t="b">
        <v>0</v>
      </c>
      <c r="W15" s="218" t="b">
        <v>0</v>
      </c>
    </row>
    <row r="16" spans="1:26" x14ac:dyDescent="0.2">
      <c r="A16" s="87">
        <v>7</v>
      </c>
      <c r="B16" s="63"/>
      <c r="C16" s="224"/>
      <c r="D16" s="61"/>
      <c r="E16" s="163"/>
      <c r="F16" s="163"/>
      <c r="G16" s="166" t="str">
        <f t="shared" si="6"/>
        <v/>
      </c>
      <c r="H16" s="102" t="str">
        <f t="shared" si="0"/>
        <v/>
      </c>
      <c r="I16" s="104" t="str">
        <f t="shared" si="0"/>
        <v/>
      </c>
      <c r="J16" s="101" t="str">
        <f t="shared" si="2"/>
        <v/>
      </c>
      <c r="K16" s="103" t="str">
        <f t="shared" si="3"/>
        <v/>
      </c>
      <c r="L16" s="66"/>
      <c r="M16" s="61"/>
      <c r="N16" s="169" t="str">
        <f t="shared" si="1"/>
        <v/>
      </c>
      <c r="O16" s="112" t="str">
        <f t="shared" si="7"/>
        <v/>
      </c>
      <c r="P16" s="101" t="str">
        <f t="shared" si="8"/>
        <v/>
      </c>
      <c r="Q16" s="102" t="str">
        <f t="shared" si="9"/>
        <v/>
      </c>
      <c r="R16" s="103" t="str">
        <f t="shared" si="4"/>
        <v/>
      </c>
      <c r="S16" s="172"/>
      <c r="T16" s="214"/>
      <c r="U16" s="211" t="str">
        <f t="shared" si="5"/>
        <v/>
      </c>
      <c r="V16" s="217" t="b">
        <v>0</v>
      </c>
      <c r="W16" s="217" t="b">
        <v>0</v>
      </c>
    </row>
    <row r="17" spans="1:23" x14ac:dyDescent="0.2">
      <c r="A17" s="87">
        <v>8</v>
      </c>
      <c r="B17" s="63"/>
      <c r="C17" s="224"/>
      <c r="D17" s="61"/>
      <c r="E17" s="163"/>
      <c r="F17" s="163"/>
      <c r="G17" s="166" t="str">
        <f t="shared" si="6"/>
        <v/>
      </c>
      <c r="H17" s="102" t="str">
        <f t="shared" si="0"/>
        <v/>
      </c>
      <c r="I17" s="104" t="str">
        <f t="shared" si="0"/>
        <v/>
      </c>
      <c r="J17" s="101" t="str">
        <f t="shared" si="2"/>
        <v/>
      </c>
      <c r="K17" s="103" t="str">
        <f t="shared" si="3"/>
        <v/>
      </c>
      <c r="L17" s="66"/>
      <c r="M17" s="61"/>
      <c r="N17" s="169" t="str">
        <f t="shared" si="1"/>
        <v/>
      </c>
      <c r="O17" s="112" t="str">
        <f t="shared" si="7"/>
        <v/>
      </c>
      <c r="P17" s="101" t="str">
        <f t="shared" si="8"/>
        <v/>
      </c>
      <c r="Q17" s="102" t="str">
        <f t="shared" si="9"/>
        <v/>
      </c>
      <c r="R17" s="103" t="str">
        <f t="shared" si="4"/>
        <v/>
      </c>
      <c r="S17" s="172"/>
      <c r="T17" s="214"/>
      <c r="U17" s="211" t="str">
        <f t="shared" si="5"/>
        <v/>
      </c>
      <c r="V17" s="217" t="b">
        <v>0</v>
      </c>
      <c r="W17" s="217" t="b">
        <v>0</v>
      </c>
    </row>
    <row r="18" spans="1:23" x14ac:dyDescent="0.2">
      <c r="A18" s="87">
        <v>9</v>
      </c>
      <c r="B18" s="63"/>
      <c r="C18" s="224"/>
      <c r="D18" s="61"/>
      <c r="E18" s="163"/>
      <c r="F18" s="163"/>
      <c r="G18" s="166" t="str">
        <f t="shared" si="6"/>
        <v/>
      </c>
      <c r="H18" s="102" t="str">
        <f t="shared" si="0"/>
        <v/>
      </c>
      <c r="I18" s="104" t="str">
        <f t="shared" si="0"/>
        <v/>
      </c>
      <c r="J18" s="101" t="str">
        <f t="shared" si="2"/>
        <v/>
      </c>
      <c r="K18" s="103" t="str">
        <f t="shared" si="3"/>
        <v/>
      </c>
      <c r="L18" s="66"/>
      <c r="M18" s="61"/>
      <c r="N18" s="169" t="str">
        <f t="shared" si="1"/>
        <v/>
      </c>
      <c r="O18" s="112" t="str">
        <f t="shared" si="7"/>
        <v/>
      </c>
      <c r="P18" s="101" t="str">
        <f t="shared" si="8"/>
        <v/>
      </c>
      <c r="Q18" s="102" t="str">
        <f t="shared" si="9"/>
        <v/>
      </c>
      <c r="R18" s="103" t="str">
        <f t="shared" si="4"/>
        <v/>
      </c>
      <c r="S18" s="172"/>
      <c r="T18" s="214"/>
      <c r="U18" s="211" t="str">
        <f t="shared" si="5"/>
        <v/>
      </c>
      <c r="V18" s="217" t="b">
        <v>0</v>
      </c>
      <c r="W18" s="217" t="b">
        <v>0</v>
      </c>
    </row>
    <row r="19" spans="1:23" ht="15" thickBot="1" x14ac:dyDescent="0.25">
      <c r="A19" s="105">
        <v>10</v>
      </c>
      <c r="B19" s="64"/>
      <c r="C19" s="225"/>
      <c r="D19" s="62"/>
      <c r="E19" s="164"/>
      <c r="F19" s="164"/>
      <c r="G19" s="167" t="str">
        <f t="shared" si="6"/>
        <v/>
      </c>
      <c r="H19" s="107" t="str">
        <f t="shared" si="0"/>
        <v/>
      </c>
      <c r="I19" s="109" t="str">
        <f t="shared" si="0"/>
        <v/>
      </c>
      <c r="J19" s="106" t="str">
        <f t="shared" si="2"/>
        <v/>
      </c>
      <c r="K19" s="108" t="str">
        <f t="shared" si="3"/>
        <v/>
      </c>
      <c r="L19" s="67"/>
      <c r="M19" s="62"/>
      <c r="N19" s="170" t="str">
        <f t="shared" si="1"/>
        <v/>
      </c>
      <c r="O19" s="110" t="str">
        <f t="shared" si="7"/>
        <v/>
      </c>
      <c r="P19" s="106" t="str">
        <f t="shared" si="8"/>
        <v/>
      </c>
      <c r="Q19" s="107" t="str">
        <f t="shared" si="9"/>
        <v/>
      </c>
      <c r="R19" s="108" t="str">
        <f t="shared" si="4"/>
        <v/>
      </c>
      <c r="S19" s="173"/>
      <c r="T19" s="215"/>
      <c r="U19" s="211" t="str">
        <f t="shared" si="5"/>
        <v/>
      </c>
      <c r="V19" s="219" t="b">
        <v>0</v>
      </c>
      <c r="W19" s="219" t="b">
        <v>0</v>
      </c>
    </row>
    <row r="20" spans="1:23" x14ac:dyDescent="0.2">
      <c r="A20" s="96">
        <v>11</v>
      </c>
      <c r="B20" s="59"/>
      <c r="C20" s="223"/>
      <c r="D20" s="60"/>
      <c r="E20" s="162"/>
      <c r="F20" s="162"/>
      <c r="G20" s="165" t="str">
        <f t="shared" si="6"/>
        <v/>
      </c>
      <c r="H20" s="98" t="str">
        <f t="shared" si="0"/>
        <v/>
      </c>
      <c r="I20" s="100" t="str">
        <f t="shared" si="0"/>
        <v/>
      </c>
      <c r="J20" s="97" t="str">
        <f t="shared" si="2"/>
        <v/>
      </c>
      <c r="K20" s="99" t="str">
        <f t="shared" si="3"/>
        <v/>
      </c>
      <c r="L20" s="65"/>
      <c r="M20" s="60"/>
      <c r="N20" s="168" t="str">
        <f t="shared" si="1"/>
        <v/>
      </c>
      <c r="O20" s="111" t="str">
        <f t="shared" si="7"/>
        <v/>
      </c>
      <c r="P20" s="97" t="str">
        <f t="shared" si="8"/>
        <v/>
      </c>
      <c r="Q20" s="98" t="str">
        <f t="shared" si="9"/>
        <v/>
      </c>
      <c r="R20" s="99" t="str">
        <f t="shared" si="4"/>
        <v/>
      </c>
      <c r="S20" s="171"/>
      <c r="T20" s="213"/>
      <c r="U20" s="211" t="str">
        <f t="shared" si="5"/>
        <v/>
      </c>
      <c r="V20" s="218" t="b">
        <v>0</v>
      </c>
      <c r="W20" s="218" t="b">
        <v>0</v>
      </c>
    </row>
    <row r="21" spans="1:23" x14ac:dyDescent="0.2">
      <c r="A21" s="87">
        <v>12</v>
      </c>
      <c r="B21" s="63"/>
      <c r="C21" s="224"/>
      <c r="D21" s="61"/>
      <c r="E21" s="163"/>
      <c r="F21" s="163"/>
      <c r="G21" s="166" t="str">
        <f t="shared" si="6"/>
        <v/>
      </c>
      <c r="H21" s="102" t="str">
        <f t="shared" si="0"/>
        <v/>
      </c>
      <c r="I21" s="104" t="str">
        <f t="shared" si="0"/>
        <v/>
      </c>
      <c r="J21" s="101" t="str">
        <f t="shared" si="2"/>
        <v/>
      </c>
      <c r="K21" s="103" t="str">
        <f t="shared" si="3"/>
        <v/>
      </c>
      <c r="L21" s="66"/>
      <c r="M21" s="61"/>
      <c r="N21" s="169" t="str">
        <f t="shared" si="1"/>
        <v/>
      </c>
      <c r="O21" s="112" t="str">
        <f t="shared" si="7"/>
        <v/>
      </c>
      <c r="P21" s="101" t="str">
        <f t="shared" si="8"/>
        <v/>
      </c>
      <c r="Q21" s="102" t="str">
        <f t="shared" si="9"/>
        <v/>
      </c>
      <c r="R21" s="103" t="str">
        <f t="shared" si="4"/>
        <v/>
      </c>
      <c r="S21" s="172"/>
      <c r="T21" s="214"/>
      <c r="U21" s="211" t="str">
        <f t="shared" si="5"/>
        <v/>
      </c>
      <c r="V21" s="217" t="b">
        <v>0</v>
      </c>
      <c r="W21" s="217" t="b">
        <v>0</v>
      </c>
    </row>
    <row r="22" spans="1:23" x14ac:dyDescent="0.2">
      <c r="A22" s="87">
        <v>13</v>
      </c>
      <c r="B22" s="63"/>
      <c r="C22" s="224"/>
      <c r="D22" s="61"/>
      <c r="E22" s="163"/>
      <c r="F22" s="163"/>
      <c r="G22" s="166" t="str">
        <f t="shared" si="6"/>
        <v/>
      </c>
      <c r="H22" s="102" t="str">
        <f t="shared" si="0"/>
        <v/>
      </c>
      <c r="I22" s="104" t="str">
        <f t="shared" si="0"/>
        <v/>
      </c>
      <c r="J22" s="101" t="str">
        <f t="shared" si="2"/>
        <v/>
      </c>
      <c r="K22" s="103" t="str">
        <f t="shared" si="3"/>
        <v/>
      </c>
      <c r="L22" s="66"/>
      <c r="M22" s="61"/>
      <c r="N22" s="169" t="str">
        <f t="shared" si="1"/>
        <v/>
      </c>
      <c r="O22" s="112" t="str">
        <f t="shared" si="7"/>
        <v/>
      </c>
      <c r="P22" s="101" t="str">
        <f t="shared" si="8"/>
        <v/>
      </c>
      <c r="Q22" s="102" t="str">
        <f t="shared" si="9"/>
        <v/>
      </c>
      <c r="R22" s="103" t="str">
        <f t="shared" si="4"/>
        <v/>
      </c>
      <c r="S22" s="172"/>
      <c r="T22" s="214"/>
      <c r="U22" s="211" t="str">
        <f t="shared" si="5"/>
        <v/>
      </c>
      <c r="V22" s="217" t="b">
        <v>0</v>
      </c>
      <c r="W22" s="217" t="b">
        <v>0</v>
      </c>
    </row>
    <row r="23" spans="1:23" x14ac:dyDescent="0.2">
      <c r="A23" s="87">
        <v>14</v>
      </c>
      <c r="B23" s="63"/>
      <c r="C23" s="224"/>
      <c r="D23" s="61"/>
      <c r="E23" s="163"/>
      <c r="F23" s="163"/>
      <c r="G23" s="166" t="str">
        <f t="shared" si="6"/>
        <v/>
      </c>
      <c r="H23" s="102" t="str">
        <f t="shared" si="0"/>
        <v/>
      </c>
      <c r="I23" s="104" t="str">
        <f t="shared" si="0"/>
        <v/>
      </c>
      <c r="J23" s="101" t="str">
        <f t="shared" si="2"/>
        <v/>
      </c>
      <c r="K23" s="103" t="str">
        <f t="shared" si="3"/>
        <v/>
      </c>
      <c r="L23" s="66"/>
      <c r="M23" s="61"/>
      <c r="N23" s="169" t="str">
        <f t="shared" si="1"/>
        <v/>
      </c>
      <c r="O23" s="112" t="str">
        <f t="shared" si="7"/>
        <v/>
      </c>
      <c r="P23" s="101" t="str">
        <f t="shared" si="8"/>
        <v/>
      </c>
      <c r="Q23" s="102" t="str">
        <f t="shared" si="9"/>
        <v/>
      </c>
      <c r="R23" s="103" t="str">
        <f t="shared" si="4"/>
        <v/>
      </c>
      <c r="S23" s="172"/>
      <c r="T23" s="214"/>
      <c r="U23" s="211" t="str">
        <f t="shared" si="5"/>
        <v/>
      </c>
      <c r="V23" s="217" t="b">
        <v>0</v>
      </c>
      <c r="W23" s="217" t="b">
        <v>0</v>
      </c>
    </row>
    <row r="24" spans="1:23" ht="15" thickBot="1" x14ac:dyDescent="0.25">
      <c r="A24" s="105">
        <v>15</v>
      </c>
      <c r="B24" s="64"/>
      <c r="C24" s="225"/>
      <c r="D24" s="62"/>
      <c r="E24" s="164"/>
      <c r="F24" s="164"/>
      <c r="G24" s="167" t="str">
        <f t="shared" si="6"/>
        <v/>
      </c>
      <c r="H24" s="107" t="str">
        <f t="shared" si="0"/>
        <v/>
      </c>
      <c r="I24" s="109" t="str">
        <f t="shared" si="0"/>
        <v/>
      </c>
      <c r="J24" s="106" t="str">
        <f t="shared" si="2"/>
        <v/>
      </c>
      <c r="K24" s="108" t="str">
        <f t="shared" si="3"/>
        <v/>
      </c>
      <c r="L24" s="67"/>
      <c r="M24" s="62"/>
      <c r="N24" s="170" t="str">
        <f t="shared" si="1"/>
        <v/>
      </c>
      <c r="O24" s="110" t="str">
        <f t="shared" si="7"/>
        <v/>
      </c>
      <c r="P24" s="106" t="str">
        <f t="shared" si="8"/>
        <v/>
      </c>
      <c r="Q24" s="107" t="str">
        <f t="shared" si="9"/>
        <v/>
      </c>
      <c r="R24" s="108" t="str">
        <f t="shared" si="4"/>
        <v/>
      </c>
      <c r="S24" s="173"/>
      <c r="T24" s="215"/>
      <c r="U24" s="211" t="str">
        <f t="shared" si="5"/>
        <v/>
      </c>
      <c r="V24" s="219" t="b">
        <v>0</v>
      </c>
      <c r="W24" s="219" t="b">
        <v>0</v>
      </c>
    </row>
    <row r="25" spans="1:23" x14ac:dyDescent="0.2">
      <c r="A25" s="96">
        <v>16</v>
      </c>
      <c r="B25" s="59"/>
      <c r="C25" s="223"/>
      <c r="D25" s="60"/>
      <c r="E25" s="162"/>
      <c r="F25" s="162"/>
      <c r="G25" s="165" t="str">
        <f t="shared" si="6"/>
        <v/>
      </c>
      <c r="H25" s="98" t="str">
        <f t="shared" si="0"/>
        <v/>
      </c>
      <c r="I25" s="100" t="str">
        <f t="shared" si="0"/>
        <v/>
      </c>
      <c r="J25" s="97" t="str">
        <f t="shared" si="2"/>
        <v/>
      </c>
      <c r="K25" s="99" t="str">
        <f t="shared" si="3"/>
        <v/>
      </c>
      <c r="L25" s="65"/>
      <c r="M25" s="60"/>
      <c r="N25" s="168" t="str">
        <f t="shared" si="1"/>
        <v/>
      </c>
      <c r="O25" s="111" t="str">
        <f t="shared" si="7"/>
        <v/>
      </c>
      <c r="P25" s="97" t="str">
        <f t="shared" si="8"/>
        <v/>
      </c>
      <c r="Q25" s="98" t="str">
        <f t="shared" si="9"/>
        <v/>
      </c>
      <c r="R25" s="99" t="str">
        <f t="shared" si="4"/>
        <v/>
      </c>
      <c r="S25" s="171"/>
      <c r="T25" s="213"/>
      <c r="U25" s="211" t="str">
        <f t="shared" si="5"/>
        <v/>
      </c>
      <c r="V25" s="218" t="b">
        <v>0</v>
      </c>
      <c r="W25" s="218" t="b">
        <v>0</v>
      </c>
    </row>
    <row r="26" spans="1:23" x14ac:dyDescent="0.2">
      <c r="A26" s="87">
        <v>17</v>
      </c>
      <c r="B26" s="63"/>
      <c r="C26" s="224"/>
      <c r="D26" s="61"/>
      <c r="E26" s="163"/>
      <c r="F26" s="163"/>
      <c r="G26" s="166" t="str">
        <f t="shared" si="6"/>
        <v/>
      </c>
      <c r="H26" s="102" t="str">
        <f t="shared" ref="H26:I32" si="14">IF($D26="","",IF($D26=H$8,$F26-$E26,""))</f>
        <v/>
      </c>
      <c r="I26" s="104" t="str">
        <f t="shared" si="14"/>
        <v/>
      </c>
      <c r="J26" s="101" t="str">
        <f t="shared" si="2"/>
        <v/>
      </c>
      <c r="K26" s="103" t="str">
        <f t="shared" si="3"/>
        <v/>
      </c>
      <c r="L26" s="66"/>
      <c r="M26" s="61"/>
      <c r="N26" s="169" t="str">
        <f t="shared" si="1"/>
        <v/>
      </c>
      <c r="O26" s="112" t="str">
        <f t="shared" si="7"/>
        <v/>
      </c>
      <c r="P26" s="101" t="str">
        <f t="shared" si="8"/>
        <v/>
      </c>
      <c r="Q26" s="102" t="str">
        <f t="shared" si="9"/>
        <v/>
      </c>
      <c r="R26" s="103" t="str">
        <f t="shared" si="4"/>
        <v/>
      </c>
      <c r="S26" s="172"/>
      <c r="T26" s="214"/>
      <c r="U26" s="211" t="str">
        <f t="shared" si="5"/>
        <v/>
      </c>
      <c r="V26" s="217" t="b">
        <v>0</v>
      </c>
      <c r="W26" s="217" t="b">
        <v>0</v>
      </c>
    </row>
    <row r="27" spans="1:23" x14ac:dyDescent="0.2">
      <c r="A27" s="87">
        <v>18</v>
      </c>
      <c r="B27" s="63"/>
      <c r="C27" s="224"/>
      <c r="D27" s="61"/>
      <c r="E27" s="163"/>
      <c r="F27" s="163"/>
      <c r="G27" s="166" t="str">
        <f t="shared" si="6"/>
        <v/>
      </c>
      <c r="H27" s="102" t="str">
        <f t="shared" si="14"/>
        <v/>
      </c>
      <c r="I27" s="104" t="str">
        <f t="shared" si="14"/>
        <v/>
      </c>
      <c r="J27" s="101" t="str">
        <f t="shared" si="2"/>
        <v/>
      </c>
      <c r="K27" s="103" t="str">
        <f t="shared" si="3"/>
        <v/>
      </c>
      <c r="L27" s="66"/>
      <c r="M27" s="61"/>
      <c r="N27" s="169" t="str">
        <f t="shared" si="1"/>
        <v/>
      </c>
      <c r="O27" s="112" t="str">
        <f t="shared" si="7"/>
        <v/>
      </c>
      <c r="P27" s="101" t="str">
        <f t="shared" si="8"/>
        <v/>
      </c>
      <c r="Q27" s="102" t="str">
        <f t="shared" si="9"/>
        <v/>
      </c>
      <c r="R27" s="103" t="str">
        <f t="shared" si="4"/>
        <v/>
      </c>
      <c r="S27" s="172"/>
      <c r="T27" s="214"/>
      <c r="U27" s="211" t="str">
        <f t="shared" si="5"/>
        <v/>
      </c>
      <c r="V27" s="217" t="b">
        <v>0</v>
      </c>
      <c r="W27" s="217" t="b">
        <v>0</v>
      </c>
    </row>
    <row r="28" spans="1:23" x14ac:dyDescent="0.2">
      <c r="A28" s="87">
        <v>19</v>
      </c>
      <c r="B28" s="63"/>
      <c r="C28" s="224"/>
      <c r="D28" s="61"/>
      <c r="E28" s="163"/>
      <c r="F28" s="163"/>
      <c r="G28" s="166" t="str">
        <f t="shared" si="6"/>
        <v/>
      </c>
      <c r="H28" s="102" t="str">
        <f t="shared" si="14"/>
        <v/>
      </c>
      <c r="I28" s="104" t="str">
        <f t="shared" si="14"/>
        <v/>
      </c>
      <c r="J28" s="101" t="str">
        <f t="shared" si="2"/>
        <v/>
      </c>
      <c r="K28" s="103" t="str">
        <f t="shared" si="3"/>
        <v/>
      </c>
      <c r="L28" s="66"/>
      <c r="M28" s="61"/>
      <c r="N28" s="169" t="str">
        <f t="shared" si="1"/>
        <v/>
      </c>
      <c r="O28" s="112" t="str">
        <f t="shared" si="7"/>
        <v/>
      </c>
      <c r="P28" s="101" t="str">
        <f t="shared" si="8"/>
        <v/>
      </c>
      <c r="Q28" s="102" t="str">
        <f t="shared" si="9"/>
        <v/>
      </c>
      <c r="R28" s="103" t="str">
        <f t="shared" si="4"/>
        <v/>
      </c>
      <c r="S28" s="172"/>
      <c r="T28" s="214"/>
      <c r="U28" s="211" t="str">
        <f t="shared" si="5"/>
        <v/>
      </c>
      <c r="V28" s="217" t="b">
        <v>0</v>
      </c>
      <c r="W28" s="217" t="b">
        <v>0</v>
      </c>
    </row>
    <row r="29" spans="1:23" ht="15" thickBot="1" x14ac:dyDescent="0.25">
      <c r="A29" s="105">
        <v>20</v>
      </c>
      <c r="B29" s="64"/>
      <c r="C29" s="225"/>
      <c r="D29" s="62"/>
      <c r="E29" s="164"/>
      <c r="F29" s="164"/>
      <c r="G29" s="167" t="str">
        <f t="shared" si="6"/>
        <v/>
      </c>
      <c r="H29" s="107" t="str">
        <f t="shared" si="14"/>
        <v/>
      </c>
      <c r="I29" s="109" t="str">
        <f t="shared" si="14"/>
        <v/>
      </c>
      <c r="J29" s="106" t="str">
        <f t="shared" si="2"/>
        <v/>
      </c>
      <c r="K29" s="108" t="str">
        <f t="shared" si="3"/>
        <v/>
      </c>
      <c r="L29" s="67"/>
      <c r="M29" s="62"/>
      <c r="N29" s="170" t="str">
        <f t="shared" si="1"/>
        <v/>
      </c>
      <c r="O29" s="110" t="str">
        <f t="shared" si="7"/>
        <v/>
      </c>
      <c r="P29" s="106" t="str">
        <f t="shared" si="8"/>
        <v/>
      </c>
      <c r="Q29" s="107" t="str">
        <f t="shared" si="9"/>
        <v/>
      </c>
      <c r="R29" s="108" t="str">
        <f t="shared" si="4"/>
        <v/>
      </c>
      <c r="S29" s="173"/>
      <c r="T29" s="215"/>
      <c r="U29" s="211" t="str">
        <f t="shared" si="5"/>
        <v/>
      </c>
      <c r="V29" s="219" t="b">
        <v>0</v>
      </c>
      <c r="W29" s="219" t="b">
        <v>0</v>
      </c>
    </row>
    <row r="30" spans="1:23" x14ac:dyDescent="0.2">
      <c r="A30" s="96">
        <v>21</v>
      </c>
      <c r="B30" s="59"/>
      <c r="C30" s="223"/>
      <c r="D30" s="60"/>
      <c r="E30" s="162"/>
      <c r="F30" s="162"/>
      <c r="G30" s="165" t="str">
        <f t="shared" si="6"/>
        <v/>
      </c>
      <c r="H30" s="98" t="str">
        <f t="shared" si="14"/>
        <v/>
      </c>
      <c r="I30" s="100" t="str">
        <f t="shared" si="14"/>
        <v/>
      </c>
      <c r="J30" s="97" t="str">
        <f t="shared" si="2"/>
        <v/>
      </c>
      <c r="K30" s="99" t="str">
        <f t="shared" si="3"/>
        <v/>
      </c>
      <c r="L30" s="65"/>
      <c r="M30" s="60"/>
      <c r="N30" s="168" t="str">
        <f t="shared" si="1"/>
        <v/>
      </c>
      <c r="O30" s="111" t="str">
        <f t="shared" si="7"/>
        <v/>
      </c>
      <c r="P30" s="97" t="str">
        <f t="shared" si="8"/>
        <v/>
      </c>
      <c r="Q30" s="98" t="str">
        <f t="shared" si="9"/>
        <v/>
      </c>
      <c r="R30" s="99" t="str">
        <f t="shared" si="4"/>
        <v/>
      </c>
      <c r="S30" s="171"/>
      <c r="T30" s="213"/>
      <c r="U30" s="211" t="str">
        <f t="shared" si="5"/>
        <v/>
      </c>
      <c r="V30" s="218" t="b">
        <v>0</v>
      </c>
      <c r="W30" s="218" t="b">
        <v>0</v>
      </c>
    </row>
    <row r="31" spans="1:23" x14ac:dyDescent="0.2">
      <c r="A31" s="87">
        <v>22</v>
      </c>
      <c r="B31" s="63"/>
      <c r="C31" s="224"/>
      <c r="D31" s="61"/>
      <c r="E31" s="163"/>
      <c r="F31" s="163"/>
      <c r="G31" s="166" t="str">
        <f t="shared" si="6"/>
        <v/>
      </c>
      <c r="H31" s="102" t="str">
        <f t="shared" si="14"/>
        <v/>
      </c>
      <c r="I31" s="104" t="str">
        <f t="shared" si="14"/>
        <v/>
      </c>
      <c r="J31" s="101" t="str">
        <f t="shared" si="2"/>
        <v/>
      </c>
      <c r="K31" s="103" t="str">
        <f t="shared" si="3"/>
        <v/>
      </c>
      <c r="L31" s="66"/>
      <c r="M31" s="61"/>
      <c r="N31" s="169" t="str">
        <f t="shared" si="1"/>
        <v/>
      </c>
      <c r="O31" s="112" t="str">
        <f t="shared" si="7"/>
        <v/>
      </c>
      <c r="P31" s="101" t="str">
        <f t="shared" si="8"/>
        <v/>
      </c>
      <c r="Q31" s="102" t="str">
        <f t="shared" si="9"/>
        <v/>
      </c>
      <c r="R31" s="103" t="str">
        <f t="shared" si="4"/>
        <v/>
      </c>
      <c r="S31" s="172"/>
      <c r="T31" s="214"/>
      <c r="U31" s="211" t="str">
        <f t="shared" si="5"/>
        <v/>
      </c>
      <c r="V31" s="217" t="b">
        <v>0</v>
      </c>
      <c r="W31" s="217" t="b">
        <v>0</v>
      </c>
    </row>
    <row r="32" spans="1:23" x14ac:dyDescent="0.2">
      <c r="A32" s="87">
        <v>23</v>
      </c>
      <c r="B32" s="63"/>
      <c r="C32" s="224"/>
      <c r="D32" s="61"/>
      <c r="E32" s="163"/>
      <c r="F32" s="163"/>
      <c r="G32" s="166" t="str">
        <f t="shared" si="6"/>
        <v/>
      </c>
      <c r="H32" s="102" t="str">
        <f t="shared" si="14"/>
        <v/>
      </c>
      <c r="I32" s="104" t="str">
        <f t="shared" si="14"/>
        <v/>
      </c>
      <c r="J32" s="101" t="str">
        <f t="shared" si="2"/>
        <v/>
      </c>
      <c r="K32" s="103" t="str">
        <f t="shared" si="3"/>
        <v/>
      </c>
      <c r="L32" s="66"/>
      <c r="M32" s="61"/>
      <c r="N32" s="169" t="str">
        <f t="shared" si="1"/>
        <v/>
      </c>
      <c r="O32" s="112" t="str">
        <f t="shared" si="7"/>
        <v/>
      </c>
      <c r="P32" s="101" t="str">
        <f t="shared" si="8"/>
        <v/>
      </c>
      <c r="Q32" s="102" t="str">
        <f t="shared" si="9"/>
        <v/>
      </c>
      <c r="R32" s="103" t="str">
        <f t="shared" si="4"/>
        <v/>
      </c>
      <c r="S32" s="172"/>
      <c r="T32" s="214"/>
      <c r="U32" s="211" t="str">
        <f t="shared" si="5"/>
        <v/>
      </c>
      <c r="V32" s="217" t="b">
        <v>0</v>
      </c>
      <c r="W32" s="217" t="b">
        <v>0</v>
      </c>
    </row>
    <row r="33" spans="1:23" x14ac:dyDescent="0.2">
      <c r="A33" s="87">
        <v>24</v>
      </c>
      <c r="B33" s="63"/>
      <c r="C33" s="224"/>
      <c r="D33" s="61"/>
      <c r="E33" s="163"/>
      <c r="F33" s="163"/>
      <c r="G33" s="166" t="str">
        <f>IF($D33="","",IF($D33=G$8,$F33-$E33,""))</f>
        <v/>
      </c>
      <c r="H33" s="102" t="str">
        <f>IF($D33="","",IF($D33=H$8,$F33-$E33,""))</f>
        <v/>
      </c>
      <c r="I33" s="104" t="str">
        <f>IF($D33="","",IF($D33=I$8,$F33-$E33,""))</f>
        <v/>
      </c>
      <c r="J33" s="101" t="str">
        <f>IF($D33="","",IF($D33=CONCATENATE(J$7," ",J$8),$F33-$E33,""))</f>
        <v/>
      </c>
      <c r="K33" s="103" t="str">
        <f>IF($D33="","",IF($D33=CONCATENATE(J$7," ",K$8),$F33-$E33,""))</f>
        <v/>
      </c>
      <c r="L33" s="66"/>
      <c r="M33" s="61"/>
      <c r="N33" s="169" t="str">
        <f t="shared" ref="N33:N41" si="15">IF($D33="","",IF($D33="PAX",$F33-$E33,""))</f>
        <v/>
      </c>
      <c r="O33" s="112" t="str">
        <f t="shared" si="7"/>
        <v/>
      </c>
      <c r="P33" s="101" t="str">
        <f>IF($O33=P$9,F33-E33,"")</f>
        <v/>
      </c>
      <c r="Q33" s="102" t="str">
        <f>IF($O33=6,F33-E33,"")</f>
        <v/>
      </c>
      <c r="R33" s="103" t="str">
        <f>IF($O33=R$9,F33-E33,"")</f>
        <v/>
      </c>
      <c r="S33" s="172"/>
      <c r="T33" s="214"/>
      <c r="U33" s="211" t="str">
        <f t="shared" si="5"/>
        <v/>
      </c>
      <c r="V33" s="217" t="b">
        <v>0</v>
      </c>
      <c r="W33" s="217" t="b">
        <v>0</v>
      </c>
    </row>
    <row r="34" spans="1:23" ht="15" thickBot="1" x14ac:dyDescent="0.25">
      <c r="A34" s="105">
        <v>25</v>
      </c>
      <c r="B34" s="64"/>
      <c r="C34" s="225"/>
      <c r="D34" s="62"/>
      <c r="E34" s="164"/>
      <c r="F34" s="164"/>
      <c r="G34" s="167" t="str">
        <f t="shared" ref="G34:G41" si="16">IF($D34="","",IF($D34=G$8,$F34-$E34,""))</f>
        <v/>
      </c>
      <c r="H34" s="107" t="str">
        <f t="shared" ref="H34:I41" si="17">IF($D34="","",IF($D34=H$8,$F34-$E34,""))</f>
        <v/>
      </c>
      <c r="I34" s="109" t="str">
        <f t="shared" si="17"/>
        <v/>
      </c>
      <c r="J34" s="106" t="str">
        <f t="shared" ref="J34:J41" si="18">IF($D34="","",IF($D34=CONCATENATE(J$7," ",J$8),$F34-$E34,""))</f>
        <v/>
      </c>
      <c r="K34" s="108" t="str">
        <f t="shared" ref="K34:K41" si="19">IF($D34="","",IF($D34=CONCATENATE(J$7," ",K$8),$F34-$E34,""))</f>
        <v/>
      </c>
      <c r="L34" s="67"/>
      <c r="M34" s="62"/>
      <c r="N34" s="170" t="str">
        <f>IF($D34="","",IF($D34="PAX",$F34-$E34,""))</f>
        <v/>
      </c>
      <c r="O34" s="110" t="str">
        <f t="shared" si="7"/>
        <v/>
      </c>
      <c r="P34" s="106" t="str">
        <f t="shared" ref="P34:P41" si="20">IF($O34=P$9,F34-E34,"")</f>
        <v/>
      </c>
      <c r="Q34" s="107" t="str">
        <f t="shared" ref="Q34:Q41" si="21">IF($O34=6,F34-E34,"")</f>
        <v/>
      </c>
      <c r="R34" s="108" t="str">
        <f t="shared" ref="R34:R41" si="22">IF($O34=R$9,F34-E34,"")</f>
        <v/>
      </c>
      <c r="S34" s="173"/>
      <c r="T34" s="215"/>
      <c r="U34" s="211" t="str">
        <f t="shared" si="5"/>
        <v/>
      </c>
      <c r="V34" s="219" t="b">
        <v>0</v>
      </c>
      <c r="W34" s="219" t="b">
        <v>0</v>
      </c>
    </row>
    <row r="35" spans="1:23" x14ac:dyDescent="0.2">
      <c r="A35" s="96">
        <v>26</v>
      </c>
      <c r="B35" s="59"/>
      <c r="C35" s="223"/>
      <c r="D35" s="60"/>
      <c r="E35" s="162"/>
      <c r="F35" s="162"/>
      <c r="G35" s="165" t="str">
        <f t="shared" si="16"/>
        <v/>
      </c>
      <c r="H35" s="98" t="str">
        <f t="shared" si="17"/>
        <v/>
      </c>
      <c r="I35" s="100" t="str">
        <f t="shared" si="17"/>
        <v/>
      </c>
      <c r="J35" s="97" t="str">
        <f t="shared" si="18"/>
        <v/>
      </c>
      <c r="K35" s="99" t="str">
        <f t="shared" si="19"/>
        <v/>
      </c>
      <c r="L35" s="65"/>
      <c r="M35" s="60"/>
      <c r="N35" s="168" t="str">
        <f t="shared" si="15"/>
        <v/>
      </c>
      <c r="O35" s="111" t="str">
        <f t="shared" si="7"/>
        <v/>
      </c>
      <c r="P35" s="97" t="str">
        <f t="shared" si="20"/>
        <v/>
      </c>
      <c r="Q35" s="98" t="str">
        <f t="shared" si="21"/>
        <v/>
      </c>
      <c r="R35" s="99" t="str">
        <f t="shared" si="22"/>
        <v/>
      </c>
      <c r="S35" s="171"/>
      <c r="T35" s="213"/>
      <c r="U35" s="211" t="str">
        <f t="shared" si="5"/>
        <v/>
      </c>
      <c r="V35" s="218" t="b">
        <v>0</v>
      </c>
      <c r="W35" s="218" t="b">
        <v>0</v>
      </c>
    </row>
    <row r="36" spans="1:23" x14ac:dyDescent="0.2">
      <c r="A36" s="87">
        <v>27</v>
      </c>
      <c r="B36" s="63"/>
      <c r="C36" s="224"/>
      <c r="D36" s="61"/>
      <c r="E36" s="163"/>
      <c r="F36" s="163"/>
      <c r="G36" s="166" t="str">
        <f t="shared" si="16"/>
        <v/>
      </c>
      <c r="H36" s="102" t="str">
        <f t="shared" si="17"/>
        <v/>
      </c>
      <c r="I36" s="104" t="str">
        <f t="shared" si="17"/>
        <v/>
      </c>
      <c r="J36" s="101" t="str">
        <f t="shared" si="18"/>
        <v/>
      </c>
      <c r="K36" s="103" t="str">
        <f t="shared" si="19"/>
        <v/>
      </c>
      <c r="L36" s="66"/>
      <c r="M36" s="61"/>
      <c r="N36" s="169" t="str">
        <f t="shared" si="15"/>
        <v/>
      </c>
      <c r="O36" s="112" t="str">
        <f t="shared" si="7"/>
        <v/>
      </c>
      <c r="P36" s="101" t="str">
        <f t="shared" si="20"/>
        <v/>
      </c>
      <c r="Q36" s="102" t="str">
        <f t="shared" si="21"/>
        <v/>
      </c>
      <c r="R36" s="103" t="str">
        <f t="shared" si="22"/>
        <v/>
      </c>
      <c r="S36" s="172"/>
      <c r="T36" s="214"/>
      <c r="U36" s="211" t="str">
        <f t="shared" si="5"/>
        <v/>
      </c>
      <c r="V36" s="217" t="b">
        <v>0</v>
      </c>
      <c r="W36" s="217" t="b">
        <v>0</v>
      </c>
    </row>
    <row r="37" spans="1:23" x14ac:dyDescent="0.2">
      <c r="A37" s="87">
        <v>28</v>
      </c>
      <c r="B37" s="63"/>
      <c r="C37" s="224"/>
      <c r="D37" s="61"/>
      <c r="E37" s="163"/>
      <c r="F37" s="163"/>
      <c r="G37" s="166" t="str">
        <f t="shared" si="16"/>
        <v/>
      </c>
      <c r="H37" s="102" t="str">
        <f t="shared" si="17"/>
        <v/>
      </c>
      <c r="I37" s="104" t="str">
        <f t="shared" si="17"/>
        <v/>
      </c>
      <c r="J37" s="101" t="str">
        <f t="shared" si="18"/>
        <v/>
      </c>
      <c r="K37" s="103" t="str">
        <f t="shared" si="19"/>
        <v/>
      </c>
      <c r="L37" s="66"/>
      <c r="M37" s="61"/>
      <c r="N37" s="169" t="str">
        <f t="shared" si="15"/>
        <v/>
      </c>
      <c r="O37" s="112" t="str">
        <f t="shared" si="7"/>
        <v/>
      </c>
      <c r="P37" s="101" t="str">
        <f t="shared" si="20"/>
        <v/>
      </c>
      <c r="Q37" s="102" t="str">
        <f t="shared" si="21"/>
        <v/>
      </c>
      <c r="R37" s="103" t="str">
        <f t="shared" si="22"/>
        <v/>
      </c>
      <c r="S37" s="172"/>
      <c r="T37" s="214"/>
      <c r="U37" s="211" t="str">
        <f t="shared" si="5"/>
        <v/>
      </c>
      <c r="V37" s="217" t="b">
        <v>0</v>
      </c>
      <c r="W37" s="217" t="b">
        <v>0</v>
      </c>
    </row>
    <row r="38" spans="1:23" x14ac:dyDescent="0.2">
      <c r="A38" s="87">
        <v>29</v>
      </c>
      <c r="B38" s="63"/>
      <c r="C38" s="224"/>
      <c r="D38" s="61"/>
      <c r="E38" s="163"/>
      <c r="F38" s="163"/>
      <c r="G38" s="166" t="str">
        <f t="shared" si="16"/>
        <v/>
      </c>
      <c r="H38" s="102" t="str">
        <f t="shared" si="17"/>
        <v/>
      </c>
      <c r="I38" s="104" t="str">
        <f t="shared" si="17"/>
        <v/>
      </c>
      <c r="J38" s="101" t="str">
        <f t="shared" si="18"/>
        <v/>
      </c>
      <c r="K38" s="103" t="str">
        <f t="shared" si="19"/>
        <v/>
      </c>
      <c r="L38" s="66"/>
      <c r="M38" s="61"/>
      <c r="N38" s="169" t="str">
        <f t="shared" si="15"/>
        <v/>
      </c>
      <c r="O38" s="112" t="str">
        <f t="shared" si="7"/>
        <v/>
      </c>
      <c r="P38" s="101" t="str">
        <f t="shared" si="20"/>
        <v/>
      </c>
      <c r="Q38" s="102" t="str">
        <f t="shared" si="21"/>
        <v/>
      </c>
      <c r="R38" s="103" t="str">
        <f t="shared" si="22"/>
        <v/>
      </c>
      <c r="S38" s="172"/>
      <c r="T38" s="214"/>
      <c r="U38" s="211" t="str">
        <f t="shared" si="5"/>
        <v/>
      </c>
      <c r="V38" s="217" t="b">
        <v>0</v>
      </c>
      <c r="W38" s="217" t="b">
        <v>0</v>
      </c>
    </row>
    <row r="39" spans="1:23" ht="15" thickBot="1" x14ac:dyDescent="0.25">
      <c r="A39" s="105">
        <v>30</v>
      </c>
      <c r="B39" s="64"/>
      <c r="C39" s="225"/>
      <c r="D39" s="62"/>
      <c r="E39" s="164"/>
      <c r="F39" s="164"/>
      <c r="G39" s="167" t="str">
        <f t="shared" si="16"/>
        <v/>
      </c>
      <c r="H39" s="107" t="str">
        <f t="shared" si="17"/>
        <v/>
      </c>
      <c r="I39" s="109" t="str">
        <f t="shared" si="17"/>
        <v/>
      </c>
      <c r="J39" s="106" t="str">
        <f t="shared" si="18"/>
        <v/>
      </c>
      <c r="K39" s="108" t="str">
        <f t="shared" si="19"/>
        <v/>
      </c>
      <c r="L39" s="67"/>
      <c r="M39" s="62"/>
      <c r="N39" s="170" t="str">
        <f t="shared" si="15"/>
        <v/>
      </c>
      <c r="O39" s="110" t="str">
        <f t="shared" si="7"/>
        <v/>
      </c>
      <c r="P39" s="106" t="str">
        <f t="shared" si="20"/>
        <v/>
      </c>
      <c r="Q39" s="107" t="str">
        <f t="shared" si="21"/>
        <v/>
      </c>
      <c r="R39" s="108" t="str">
        <f t="shared" si="22"/>
        <v/>
      </c>
      <c r="S39" s="173"/>
      <c r="T39" s="215"/>
      <c r="U39" s="211" t="str">
        <f t="shared" si="5"/>
        <v/>
      </c>
      <c r="V39" s="219" t="b">
        <v>0</v>
      </c>
      <c r="W39" s="219" t="b">
        <v>0</v>
      </c>
    </row>
    <row r="40" spans="1:23" x14ac:dyDescent="0.2">
      <c r="A40" s="96">
        <v>31</v>
      </c>
      <c r="B40" s="59"/>
      <c r="C40" s="223"/>
      <c r="D40" s="60"/>
      <c r="E40" s="162"/>
      <c r="F40" s="162"/>
      <c r="G40" s="165" t="str">
        <f t="shared" si="16"/>
        <v/>
      </c>
      <c r="H40" s="98" t="str">
        <f t="shared" si="17"/>
        <v/>
      </c>
      <c r="I40" s="100" t="str">
        <f t="shared" si="17"/>
        <v/>
      </c>
      <c r="J40" s="97" t="str">
        <f t="shared" si="18"/>
        <v/>
      </c>
      <c r="K40" s="99" t="str">
        <f t="shared" si="19"/>
        <v/>
      </c>
      <c r="L40" s="65"/>
      <c r="M40" s="60"/>
      <c r="N40" s="168" t="str">
        <f t="shared" si="15"/>
        <v/>
      </c>
      <c r="O40" s="111" t="str">
        <f t="shared" si="7"/>
        <v/>
      </c>
      <c r="P40" s="97" t="str">
        <f t="shared" si="20"/>
        <v/>
      </c>
      <c r="Q40" s="98" t="str">
        <f t="shared" si="21"/>
        <v/>
      </c>
      <c r="R40" s="99" t="str">
        <f t="shared" si="22"/>
        <v/>
      </c>
      <c r="S40" s="171"/>
      <c r="T40" s="213"/>
      <c r="U40" s="211" t="str">
        <f t="shared" si="5"/>
        <v/>
      </c>
      <c r="V40" s="218" t="b">
        <v>0</v>
      </c>
      <c r="W40" s="218" t="b">
        <v>0</v>
      </c>
    </row>
    <row r="41" spans="1:23" ht="15" thickBot="1" x14ac:dyDescent="0.25">
      <c r="A41" s="105">
        <v>32</v>
      </c>
      <c r="B41" s="64"/>
      <c r="C41" s="225"/>
      <c r="D41" s="62"/>
      <c r="E41" s="164"/>
      <c r="F41" s="164"/>
      <c r="G41" s="167" t="str">
        <f t="shared" si="16"/>
        <v/>
      </c>
      <c r="H41" s="107" t="str">
        <f t="shared" si="17"/>
        <v/>
      </c>
      <c r="I41" s="109" t="str">
        <f t="shared" si="17"/>
        <v/>
      </c>
      <c r="J41" s="106" t="str">
        <f t="shared" si="18"/>
        <v/>
      </c>
      <c r="K41" s="108" t="str">
        <f t="shared" si="19"/>
        <v/>
      </c>
      <c r="L41" s="67"/>
      <c r="M41" s="62"/>
      <c r="N41" s="170" t="str">
        <f t="shared" si="15"/>
        <v/>
      </c>
      <c r="O41" s="110" t="str">
        <f t="shared" si="7"/>
        <v/>
      </c>
      <c r="P41" s="106" t="str">
        <f t="shared" si="20"/>
        <v/>
      </c>
      <c r="Q41" s="107" t="str">
        <f t="shared" si="21"/>
        <v/>
      </c>
      <c r="R41" s="108" t="str">
        <f t="shared" si="22"/>
        <v/>
      </c>
      <c r="S41" s="173"/>
      <c r="T41" s="215"/>
      <c r="U41" s="211" t="str">
        <f t="shared" si="5"/>
        <v/>
      </c>
      <c r="V41" s="219" t="b">
        <v>0</v>
      </c>
      <c r="W41" s="219" t="b">
        <v>0</v>
      </c>
    </row>
    <row r="42" spans="1:23" ht="28.15" customHeight="1" thickBot="1" x14ac:dyDescent="0.25">
      <c r="E42" s="239" t="s">
        <v>34</v>
      </c>
      <c r="F42" s="240"/>
      <c r="G42" s="204" t="str">
        <f>IF(SUM(G10:G41)=0,"",SUM(G10:G41))</f>
        <v/>
      </c>
      <c r="H42" s="205" t="str">
        <f>IF(SUM(H10:H41)=0,"",SUM(H10:H41))</f>
        <v/>
      </c>
      <c r="I42" s="206" t="str">
        <f t="shared" ref="I42:K42" si="23">IF(SUM(I10:I41)=0,"",SUM(I10:I41))</f>
        <v/>
      </c>
      <c r="J42" s="204" t="str">
        <f t="shared" si="23"/>
        <v/>
      </c>
      <c r="K42" s="207" t="str">
        <f t="shared" si="23"/>
        <v/>
      </c>
      <c r="L42" s="113" t="str">
        <f>IF(L$10="","",SUM(L10:L41))</f>
        <v/>
      </c>
      <c r="M42" s="113" t="str">
        <f t="shared" ref="M42" si="24">IF(M$10="","",SUM(M10:M41))</f>
        <v/>
      </c>
      <c r="N42" s="202" t="str">
        <f t="shared" ref="N42" si="25">IF(SUM(N10:N41)=0,"",SUM(N10:N41))</f>
        <v/>
      </c>
      <c r="O42" s="113"/>
      <c r="P42" s="114" t="str">
        <f>IF(SUM(P10:P41)=0,"",SUM(P10:P41))</f>
        <v/>
      </c>
      <c r="Q42" s="115" t="str">
        <f t="shared" ref="Q42:R42" si="26">IF(SUM(Q10:Q41)=0,"",SUM(Q10:Q41))</f>
        <v/>
      </c>
      <c r="R42" s="116" t="str">
        <f t="shared" si="26"/>
        <v/>
      </c>
      <c r="U42" s="201"/>
    </row>
    <row r="43" spans="1:23" ht="28.15" customHeight="1" thickBot="1" x14ac:dyDescent="0.25">
      <c r="E43" s="239" t="s">
        <v>35</v>
      </c>
      <c r="F43" s="240"/>
      <c r="G43" s="132" t="str">
        <f>IF(COUNT(G10:G41)=0,"",COUNT(G10:G41))</f>
        <v/>
      </c>
      <c r="H43" s="133" t="str">
        <f>IF(COUNT(H10:H41)=0,"",COUNT(H10:H41))</f>
        <v/>
      </c>
      <c r="I43" s="203" t="str">
        <f>IF(COUNT(I10:I41)=0,"",COUNT(I10:I41))</f>
        <v/>
      </c>
      <c r="J43" s="132" t="str">
        <f>IF(COUNT(J10:J41)=0,"",COUNT(J10:J41))</f>
        <v/>
      </c>
      <c r="K43" s="91" t="str">
        <f>IF(COUNT(K10:K41)=0,"",COUNT(K10:K41))</f>
        <v/>
      </c>
      <c r="L43" s="50" t="str">
        <f>IF(L$10="","",32-COUNTBLANK(L10:L41))</f>
        <v/>
      </c>
      <c r="M43" s="50" t="str">
        <f>IF(M$10="","",32-COUNTBLANK(M10:M41))</f>
        <v/>
      </c>
      <c r="N43" s="156" t="str">
        <f>IF(COUNT(N10:N41)=0,"",COUNT(N10:N41))</f>
        <v/>
      </c>
      <c r="O43" s="50"/>
      <c r="P43" s="117" t="str">
        <f>IF(COUNT(P10:P41)=0,"",COUNT(P10:P41))</f>
        <v/>
      </c>
      <c r="Q43" s="118" t="str">
        <f>IF(COUNT(Q10:Q41)=0,"",COUNT(Q10:Q41))</f>
        <v/>
      </c>
      <c r="R43" s="119" t="str">
        <f>IF(COUNT(R10:R41)=0,"",COUNT(R10:R41))</f>
        <v/>
      </c>
    </row>
    <row r="44" spans="1:23" ht="19.350000000000001" customHeight="1" x14ac:dyDescent="0.2">
      <c r="E44" s="120"/>
      <c r="F44" s="120"/>
      <c r="G44" s="50"/>
      <c r="H44" s="50"/>
      <c r="I44" s="50"/>
      <c r="J44" s="50"/>
      <c r="K44" s="50"/>
      <c r="L44" s="50"/>
      <c r="M44" s="50"/>
      <c r="N44" s="50"/>
      <c r="O44" s="50"/>
      <c r="P44" s="50"/>
      <c r="Q44" s="121"/>
      <c r="R44" s="50"/>
    </row>
    <row r="45" spans="1:23" ht="20.100000000000001" customHeight="1" thickBot="1" x14ac:dyDescent="0.3">
      <c r="E45" s="120"/>
      <c r="F45" s="120"/>
      <c r="G45" s="270" t="s">
        <v>125</v>
      </c>
      <c r="H45" s="270"/>
      <c r="I45" s="270"/>
      <c r="J45" s="270"/>
      <c r="K45" s="270"/>
      <c r="L45" s="270"/>
      <c r="M45" s="270"/>
      <c r="N45" s="270"/>
      <c r="O45" s="270"/>
      <c r="P45" s="270"/>
      <c r="Q45" s="270"/>
      <c r="R45" s="270"/>
      <c r="S45" s="271"/>
      <c r="T45" s="271"/>
      <c r="U45" s="271"/>
    </row>
    <row r="46" spans="1:23" ht="15" customHeight="1" thickBot="1" x14ac:dyDescent="0.25">
      <c r="E46" s="120"/>
      <c r="F46" s="120"/>
      <c r="G46" s="266" t="s">
        <v>120</v>
      </c>
      <c r="H46" s="267"/>
      <c r="I46" s="267"/>
      <c r="J46" s="268"/>
      <c r="K46" s="266" t="s">
        <v>32</v>
      </c>
      <c r="L46" s="267"/>
      <c r="M46" s="267"/>
      <c r="N46" s="268"/>
      <c r="O46" s="279" t="s">
        <v>123</v>
      </c>
      <c r="P46" s="280"/>
      <c r="Q46" s="280"/>
      <c r="R46" s="285"/>
      <c r="S46" s="279" t="s">
        <v>124</v>
      </c>
      <c r="T46" s="280"/>
      <c r="U46" s="280"/>
      <c r="V46" s="281"/>
    </row>
    <row r="47" spans="1:23" ht="22.35" customHeight="1" thickBot="1" x14ac:dyDescent="0.25">
      <c r="F47" s="122" t="s">
        <v>4</v>
      </c>
      <c r="G47" s="269" t="s">
        <v>121</v>
      </c>
      <c r="H47" s="264"/>
      <c r="I47" s="264" t="s">
        <v>122</v>
      </c>
      <c r="J47" s="265"/>
      <c r="K47" s="269" t="s">
        <v>121</v>
      </c>
      <c r="L47" s="264"/>
      <c r="M47" s="264" t="s">
        <v>122</v>
      </c>
      <c r="N47" s="265"/>
      <c r="O47" s="286"/>
      <c r="P47" s="287"/>
      <c r="Q47" s="287"/>
      <c r="R47" s="288"/>
      <c r="S47" s="282"/>
      <c r="T47" s="283"/>
      <c r="U47" s="283"/>
      <c r="V47" s="284"/>
    </row>
    <row r="48" spans="1:23" ht="22.35" customHeight="1" thickBot="1" x14ac:dyDescent="0.25">
      <c r="E48" s="50" t="s">
        <v>126</v>
      </c>
      <c r="F48" s="123" t="str">
        <f>IF(O48="","",O2)</f>
        <v/>
      </c>
      <c r="G48" s="262" t="str">
        <f>IF(O48=1,P42,IF(O48=6,Q42,""))</f>
        <v/>
      </c>
      <c r="H48" s="260"/>
      <c r="I48" s="260" t="str">
        <f>IF(G48="","",C4+G48)</f>
        <v/>
      </c>
      <c r="J48" s="257"/>
      <c r="K48" s="255" t="str">
        <f>IF(O48=1,P43,IF(O48=6,Q43,""))</f>
        <v/>
      </c>
      <c r="L48" s="256"/>
      <c r="M48" s="256" t="str">
        <f>IF(K48="","",C5+K48)</f>
        <v/>
      </c>
      <c r="N48" s="257"/>
      <c r="O48" s="255" t="str">
        <f>IF($R$43&lt;=32,7,IF($Q$43&lt;=32,6,IF($P$43&lt;=32,1,"")))</f>
        <v/>
      </c>
      <c r="P48" s="256"/>
      <c r="Q48" s="256"/>
      <c r="R48" s="263"/>
      <c r="S48" s="255" t="str" cm="1">
        <f t="array" ref="S48">IFERROR(LOOKUP(2,1/(ISTEXT(B10:B41)), B10:B41), "")</f>
        <v/>
      </c>
      <c r="T48" s="256"/>
      <c r="U48" s="256"/>
      <c r="V48" s="257"/>
    </row>
    <row r="49" spans="4:22" ht="22.35" customHeight="1" thickBot="1" x14ac:dyDescent="0.25">
      <c r="D49" s="124"/>
      <c r="E49" s="50" t="str">
        <f>IF(O49=1,"Line 2","")</f>
        <v/>
      </c>
      <c r="F49" s="123" t="str">
        <f>IF(O49="","",O2)</f>
        <v/>
      </c>
      <c r="G49" s="258" t="str">
        <f>IF(O49=1,P42,"")</f>
        <v/>
      </c>
      <c r="H49" s="259"/>
      <c r="I49" s="260" t="str">
        <f>IF(G49="","",I48+G49)</f>
        <v/>
      </c>
      <c r="J49" s="261"/>
      <c r="K49" s="255" t="str">
        <f>IF(O49=1,P43,"")</f>
        <v/>
      </c>
      <c r="L49" s="256"/>
      <c r="M49" s="256" t="str">
        <f>IF(K49="","",M48+K49)</f>
        <v/>
      </c>
      <c r="N49" s="257"/>
      <c r="O49" s="255" t="str">
        <f>IF(AND(O48=6,P43&lt;=32),1,"")</f>
        <v/>
      </c>
      <c r="P49" s="256"/>
      <c r="Q49" s="256"/>
      <c r="R49" s="263"/>
      <c r="S49" s="255" t="str">
        <f>IF(O49=1,S48,"")</f>
        <v/>
      </c>
      <c r="T49" s="256"/>
      <c r="U49" s="256"/>
      <c r="V49" s="257"/>
    </row>
  </sheetData>
  <sheetProtection algorithmName="SHA-512" hashValue="yUoR2WxhD6Y14eKcqLR9Ez+qsd+VwMp0+NXuImhqU8UfDiLi8a+4rY5wyaTx30tU6KJdOAXCMJ30b42bcMIMcw==" saltValue="zUA7RPEb+43s3aqm3QXSGw==" spinCount="100000" sheet="1" selectLockedCells="1"/>
  <mergeCells count="45">
    <mergeCell ref="T7:T9"/>
    <mergeCell ref="G6:H6"/>
    <mergeCell ref="I6:J6"/>
    <mergeCell ref="S46:V47"/>
    <mergeCell ref="S48:V48"/>
    <mergeCell ref="G47:H47"/>
    <mergeCell ref="I47:J47"/>
    <mergeCell ref="O46:R47"/>
    <mergeCell ref="M47:N47"/>
    <mergeCell ref="M48:N48"/>
    <mergeCell ref="K46:N46"/>
    <mergeCell ref="K47:L47"/>
    <mergeCell ref="G45:U45"/>
    <mergeCell ref="K48:L48"/>
    <mergeCell ref="G46:J46"/>
    <mergeCell ref="S49:V49"/>
    <mergeCell ref="G49:H49"/>
    <mergeCell ref="I48:J48"/>
    <mergeCell ref="I49:J49"/>
    <mergeCell ref="K49:L49"/>
    <mergeCell ref="G48:H48"/>
    <mergeCell ref="M49:N49"/>
    <mergeCell ref="O48:R48"/>
    <mergeCell ref="O49:R49"/>
    <mergeCell ref="E43:F43"/>
    <mergeCell ref="E42:F42"/>
    <mergeCell ref="O7:O9"/>
    <mergeCell ref="D2:E2"/>
    <mergeCell ref="H2:K2"/>
    <mergeCell ref="O2:Q2"/>
    <mergeCell ref="P7:R8"/>
    <mergeCell ref="R5:T5"/>
    <mergeCell ref="G3:T3"/>
    <mergeCell ref="E5:F5"/>
    <mergeCell ref="G5:H5"/>
    <mergeCell ref="K6:L6"/>
    <mergeCell ref="M6:N6"/>
    <mergeCell ref="O6:R6"/>
    <mergeCell ref="S6:U6"/>
    <mergeCell ref="S7:S9"/>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87" fitToHeight="0" orientation="landscape" r:id="rId1"/>
  <headerFooter>
    <oddHeader>&amp;L&amp;"Arial,Bold"&amp;16CONVENTIONAL GLIDER DAILY LOG SHEET (NON-AEROTOW)&amp;R&amp;"-,Bold"RAF Form 2965D&amp;"-,Regular"
(Initial Issue 4/11)
PPQ = 100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57150</xdr:colOff>
                    <xdr:row>9</xdr:row>
                    <xdr:rowOff>0</xdr:rowOff>
                  </from>
                  <to>
                    <xdr:col>18</xdr:col>
                    <xdr:colOff>247650</xdr:colOff>
                    <xdr:row>10</xdr:row>
                    <xdr:rowOff>28575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57150</xdr:colOff>
                    <xdr:row>10</xdr:row>
                    <xdr:rowOff>0</xdr:rowOff>
                  </from>
                  <to>
                    <xdr:col>18</xdr:col>
                    <xdr:colOff>247650</xdr:colOff>
                    <xdr:row>11</xdr:row>
                    <xdr:rowOff>28575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57150</xdr:colOff>
                    <xdr:row>11</xdr:row>
                    <xdr:rowOff>0</xdr:rowOff>
                  </from>
                  <to>
                    <xdr:col>18</xdr:col>
                    <xdr:colOff>247650</xdr:colOff>
                    <xdr:row>12</xdr:row>
                    <xdr:rowOff>28575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57150</xdr:colOff>
                    <xdr:row>12</xdr:row>
                    <xdr:rowOff>0</xdr:rowOff>
                  </from>
                  <to>
                    <xdr:col>18</xdr:col>
                    <xdr:colOff>247650</xdr:colOff>
                    <xdr:row>13</xdr:row>
                    <xdr:rowOff>28575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57150</xdr:colOff>
                    <xdr:row>13</xdr:row>
                    <xdr:rowOff>0</xdr:rowOff>
                  </from>
                  <to>
                    <xdr:col>18</xdr:col>
                    <xdr:colOff>247650</xdr:colOff>
                    <xdr:row>14</xdr:row>
                    <xdr:rowOff>19050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57150</xdr:colOff>
                    <xdr:row>14</xdr:row>
                    <xdr:rowOff>0</xdr:rowOff>
                  </from>
                  <to>
                    <xdr:col>18</xdr:col>
                    <xdr:colOff>247650</xdr:colOff>
                    <xdr:row>15</xdr:row>
                    <xdr:rowOff>28575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57150</xdr:colOff>
                    <xdr:row>15</xdr:row>
                    <xdr:rowOff>0</xdr:rowOff>
                  </from>
                  <to>
                    <xdr:col>18</xdr:col>
                    <xdr:colOff>247650</xdr:colOff>
                    <xdr:row>16</xdr:row>
                    <xdr:rowOff>28575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57150</xdr:colOff>
                    <xdr:row>16</xdr:row>
                    <xdr:rowOff>0</xdr:rowOff>
                  </from>
                  <to>
                    <xdr:col>18</xdr:col>
                    <xdr:colOff>247650</xdr:colOff>
                    <xdr:row>17</xdr:row>
                    <xdr:rowOff>28575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57150</xdr:colOff>
                    <xdr:row>17</xdr:row>
                    <xdr:rowOff>0</xdr:rowOff>
                  </from>
                  <to>
                    <xdr:col>18</xdr:col>
                    <xdr:colOff>247650</xdr:colOff>
                    <xdr:row>18</xdr:row>
                    <xdr:rowOff>28575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57150</xdr:colOff>
                    <xdr:row>18</xdr:row>
                    <xdr:rowOff>0</xdr:rowOff>
                  </from>
                  <to>
                    <xdr:col>18</xdr:col>
                    <xdr:colOff>247650</xdr:colOff>
                    <xdr:row>19</xdr:row>
                    <xdr:rowOff>19050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57150</xdr:colOff>
                    <xdr:row>19</xdr:row>
                    <xdr:rowOff>0</xdr:rowOff>
                  </from>
                  <to>
                    <xdr:col>18</xdr:col>
                    <xdr:colOff>247650</xdr:colOff>
                    <xdr:row>20</xdr:row>
                    <xdr:rowOff>28575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57150</xdr:colOff>
                    <xdr:row>20</xdr:row>
                    <xdr:rowOff>0</xdr:rowOff>
                  </from>
                  <to>
                    <xdr:col>18</xdr:col>
                    <xdr:colOff>247650</xdr:colOff>
                    <xdr:row>21</xdr:row>
                    <xdr:rowOff>28575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57150</xdr:colOff>
                    <xdr:row>21</xdr:row>
                    <xdr:rowOff>0</xdr:rowOff>
                  </from>
                  <to>
                    <xdr:col>18</xdr:col>
                    <xdr:colOff>247650</xdr:colOff>
                    <xdr:row>22</xdr:row>
                    <xdr:rowOff>28575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57150</xdr:colOff>
                    <xdr:row>22</xdr:row>
                    <xdr:rowOff>0</xdr:rowOff>
                  </from>
                  <to>
                    <xdr:col>18</xdr:col>
                    <xdr:colOff>247650</xdr:colOff>
                    <xdr:row>23</xdr:row>
                    <xdr:rowOff>28575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57150</xdr:colOff>
                    <xdr:row>23</xdr:row>
                    <xdr:rowOff>0</xdr:rowOff>
                  </from>
                  <to>
                    <xdr:col>18</xdr:col>
                    <xdr:colOff>247650</xdr:colOff>
                    <xdr:row>24</xdr:row>
                    <xdr:rowOff>19050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57150</xdr:colOff>
                    <xdr:row>24</xdr:row>
                    <xdr:rowOff>0</xdr:rowOff>
                  </from>
                  <to>
                    <xdr:col>18</xdr:col>
                    <xdr:colOff>247650</xdr:colOff>
                    <xdr:row>25</xdr:row>
                    <xdr:rowOff>28575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57150</xdr:colOff>
                    <xdr:row>25</xdr:row>
                    <xdr:rowOff>0</xdr:rowOff>
                  </from>
                  <to>
                    <xdr:col>18</xdr:col>
                    <xdr:colOff>247650</xdr:colOff>
                    <xdr:row>26</xdr:row>
                    <xdr:rowOff>28575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57150</xdr:colOff>
                    <xdr:row>26</xdr:row>
                    <xdr:rowOff>0</xdr:rowOff>
                  </from>
                  <to>
                    <xdr:col>18</xdr:col>
                    <xdr:colOff>247650</xdr:colOff>
                    <xdr:row>27</xdr:row>
                    <xdr:rowOff>28575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57150</xdr:colOff>
                    <xdr:row>27</xdr:row>
                    <xdr:rowOff>0</xdr:rowOff>
                  </from>
                  <to>
                    <xdr:col>18</xdr:col>
                    <xdr:colOff>247650</xdr:colOff>
                    <xdr:row>28</xdr:row>
                    <xdr:rowOff>28575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57150</xdr:colOff>
                    <xdr:row>28</xdr:row>
                    <xdr:rowOff>0</xdr:rowOff>
                  </from>
                  <to>
                    <xdr:col>18</xdr:col>
                    <xdr:colOff>247650</xdr:colOff>
                    <xdr:row>29</xdr:row>
                    <xdr:rowOff>19050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57150</xdr:colOff>
                    <xdr:row>29</xdr:row>
                    <xdr:rowOff>0</xdr:rowOff>
                  </from>
                  <to>
                    <xdr:col>18</xdr:col>
                    <xdr:colOff>247650</xdr:colOff>
                    <xdr:row>30</xdr:row>
                    <xdr:rowOff>28575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57150</xdr:colOff>
                    <xdr:row>30</xdr:row>
                    <xdr:rowOff>0</xdr:rowOff>
                  </from>
                  <to>
                    <xdr:col>18</xdr:col>
                    <xdr:colOff>247650</xdr:colOff>
                    <xdr:row>31</xdr:row>
                    <xdr:rowOff>28575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57150</xdr:colOff>
                    <xdr:row>31</xdr:row>
                    <xdr:rowOff>0</xdr:rowOff>
                  </from>
                  <to>
                    <xdr:col>18</xdr:col>
                    <xdr:colOff>247650</xdr:colOff>
                    <xdr:row>32</xdr:row>
                    <xdr:rowOff>28575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57150</xdr:colOff>
                    <xdr:row>32</xdr:row>
                    <xdr:rowOff>0</xdr:rowOff>
                  </from>
                  <to>
                    <xdr:col>18</xdr:col>
                    <xdr:colOff>247650</xdr:colOff>
                    <xdr:row>33</xdr:row>
                    <xdr:rowOff>19050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57150</xdr:colOff>
                    <xdr:row>33</xdr:row>
                    <xdr:rowOff>0</xdr:rowOff>
                  </from>
                  <to>
                    <xdr:col>18</xdr:col>
                    <xdr:colOff>247650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57150</xdr:colOff>
                    <xdr:row>34</xdr:row>
                    <xdr:rowOff>0</xdr:rowOff>
                  </from>
                  <to>
                    <xdr:col>18</xdr:col>
                    <xdr:colOff>247650</xdr:colOff>
                    <xdr:row>35</xdr:row>
                    <xdr:rowOff>19050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57150</xdr:colOff>
                    <xdr:row>35</xdr:row>
                    <xdr:rowOff>0</xdr:rowOff>
                  </from>
                  <to>
                    <xdr:col>18</xdr:col>
                    <xdr:colOff>247650</xdr:colOff>
                    <xdr:row>36</xdr:row>
                    <xdr:rowOff>19050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57150</xdr:colOff>
                    <xdr:row>36</xdr:row>
                    <xdr:rowOff>0</xdr:rowOff>
                  </from>
                  <to>
                    <xdr:col>18</xdr:col>
                    <xdr:colOff>247650</xdr:colOff>
                    <xdr:row>37</xdr:row>
                    <xdr:rowOff>19050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57150</xdr:colOff>
                    <xdr:row>37</xdr:row>
                    <xdr:rowOff>0</xdr:rowOff>
                  </from>
                  <to>
                    <xdr:col>18</xdr:col>
                    <xdr:colOff>247650</xdr:colOff>
                    <xdr:row>38</xdr:row>
                    <xdr:rowOff>28575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57150</xdr:colOff>
                    <xdr:row>38</xdr:row>
                    <xdr:rowOff>0</xdr:rowOff>
                  </from>
                  <to>
                    <xdr:col>18</xdr:col>
                    <xdr:colOff>247650</xdr:colOff>
                    <xdr:row>39</xdr:row>
                    <xdr:rowOff>19050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57150</xdr:colOff>
                    <xdr:row>39</xdr:row>
                    <xdr:rowOff>0</xdr:rowOff>
                  </from>
                  <to>
                    <xdr:col>18</xdr:col>
                    <xdr:colOff>247650</xdr:colOff>
                    <xdr:row>40</xdr:row>
                    <xdr:rowOff>28575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57150</xdr:colOff>
                    <xdr:row>40</xdr:row>
                    <xdr:rowOff>0</xdr:rowOff>
                  </from>
                  <to>
                    <xdr:col>18</xdr:col>
                    <xdr:colOff>247650</xdr:colOff>
                    <xdr:row>41</xdr:row>
                    <xdr:rowOff>19050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476250</xdr:rowOff>
                  </from>
                  <to>
                    <xdr:col>11</xdr:col>
                    <xdr:colOff>295275</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180975</xdr:rowOff>
                  </from>
                  <to>
                    <xdr:col>11</xdr:col>
                    <xdr:colOff>295275</xdr:colOff>
                    <xdr:row>11</xdr:row>
                    <xdr:rowOff>28575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180975</xdr:rowOff>
                  </from>
                  <to>
                    <xdr:col>11</xdr:col>
                    <xdr:colOff>295275</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180975</xdr:rowOff>
                  </from>
                  <to>
                    <xdr:col>11</xdr:col>
                    <xdr:colOff>295275</xdr:colOff>
                    <xdr:row>13</xdr:row>
                    <xdr:rowOff>28575</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171450</xdr:rowOff>
                  </from>
                  <to>
                    <xdr:col>11</xdr:col>
                    <xdr:colOff>295275</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171450</xdr:rowOff>
                  </from>
                  <to>
                    <xdr:col>11</xdr:col>
                    <xdr:colOff>295275</xdr:colOff>
                    <xdr:row>17</xdr:row>
                    <xdr:rowOff>19050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180975</xdr:rowOff>
                  </from>
                  <to>
                    <xdr:col>11</xdr:col>
                    <xdr:colOff>295275</xdr:colOff>
                    <xdr:row>14</xdr:row>
                    <xdr:rowOff>28575</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180975</xdr:rowOff>
                  </from>
                  <to>
                    <xdr:col>11</xdr:col>
                    <xdr:colOff>295275</xdr:colOff>
                    <xdr:row>15</xdr:row>
                    <xdr:rowOff>19050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95250</xdr:colOff>
                    <xdr:row>22</xdr:row>
                    <xdr:rowOff>152400</xdr:rowOff>
                  </from>
                  <to>
                    <xdr:col>11</xdr:col>
                    <xdr:colOff>295275</xdr:colOff>
                    <xdr:row>24</xdr:row>
                    <xdr:rowOff>19050</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95250</xdr:colOff>
                    <xdr:row>21</xdr:row>
                    <xdr:rowOff>171450</xdr:rowOff>
                  </from>
                  <to>
                    <xdr:col>11</xdr:col>
                    <xdr:colOff>295275</xdr:colOff>
                    <xdr:row>23</xdr:row>
                    <xdr:rowOff>19050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95250</xdr:colOff>
                    <xdr:row>20</xdr:row>
                    <xdr:rowOff>171450</xdr:rowOff>
                  </from>
                  <to>
                    <xdr:col>11</xdr:col>
                    <xdr:colOff>295275</xdr:colOff>
                    <xdr:row>22</xdr:row>
                    <xdr:rowOff>19050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95250</xdr:colOff>
                    <xdr:row>19</xdr:row>
                    <xdr:rowOff>171450</xdr:rowOff>
                  </from>
                  <to>
                    <xdr:col>11</xdr:col>
                    <xdr:colOff>295275</xdr:colOff>
                    <xdr:row>21</xdr:row>
                    <xdr:rowOff>19050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95250</xdr:colOff>
                    <xdr:row>18</xdr:row>
                    <xdr:rowOff>171450</xdr:rowOff>
                  </from>
                  <to>
                    <xdr:col>11</xdr:col>
                    <xdr:colOff>295275</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95250</xdr:colOff>
                    <xdr:row>17</xdr:row>
                    <xdr:rowOff>171450</xdr:rowOff>
                  </from>
                  <to>
                    <xdr:col>11</xdr:col>
                    <xdr:colOff>295275</xdr:colOff>
                    <xdr:row>19</xdr:row>
                    <xdr:rowOff>19050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95250</xdr:colOff>
                    <xdr:row>16</xdr:row>
                    <xdr:rowOff>171450</xdr:rowOff>
                  </from>
                  <to>
                    <xdr:col>11</xdr:col>
                    <xdr:colOff>295275</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95250</xdr:colOff>
                    <xdr:row>23</xdr:row>
                    <xdr:rowOff>180975</xdr:rowOff>
                  </from>
                  <to>
                    <xdr:col>11</xdr:col>
                    <xdr:colOff>295275</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95250</xdr:colOff>
                    <xdr:row>24</xdr:row>
                    <xdr:rowOff>171450</xdr:rowOff>
                  </from>
                  <to>
                    <xdr:col>11</xdr:col>
                    <xdr:colOff>295275</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95250</xdr:colOff>
                    <xdr:row>25</xdr:row>
                    <xdr:rowOff>171450</xdr:rowOff>
                  </from>
                  <to>
                    <xdr:col>11</xdr:col>
                    <xdr:colOff>295275</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95250</xdr:colOff>
                    <xdr:row>26</xdr:row>
                    <xdr:rowOff>171450</xdr:rowOff>
                  </from>
                  <to>
                    <xdr:col>11</xdr:col>
                    <xdr:colOff>295275</xdr:colOff>
                    <xdr:row>28</xdr:row>
                    <xdr:rowOff>19050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95250</xdr:colOff>
                    <xdr:row>27</xdr:row>
                    <xdr:rowOff>171450</xdr:rowOff>
                  </from>
                  <to>
                    <xdr:col>11</xdr:col>
                    <xdr:colOff>295275</xdr:colOff>
                    <xdr:row>29</xdr:row>
                    <xdr:rowOff>19050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95250</xdr:colOff>
                    <xdr:row>28</xdr:row>
                    <xdr:rowOff>180975</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95250</xdr:colOff>
                    <xdr:row>29</xdr:row>
                    <xdr:rowOff>180975</xdr:rowOff>
                  </from>
                  <to>
                    <xdr:col>11</xdr:col>
                    <xdr:colOff>304800</xdr:colOff>
                    <xdr:row>31</xdr:row>
                    <xdr:rowOff>28575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95250</xdr:colOff>
                    <xdr:row>30</xdr:row>
                    <xdr:rowOff>171450</xdr:rowOff>
                  </from>
                  <to>
                    <xdr:col>11</xdr:col>
                    <xdr:colOff>304800</xdr:colOff>
                    <xdr:row>32</xdr:row>
                    <xdr:rowOff>57150</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66675</xdr:colOff>
                    <xdr:row>10</xdr:row>
                    <xdr:rowOff>180975</xdr:rowOff>
                  </from>
                  <to>
                    <xdr:col>12</xdr:col>
                    <xdr:colOff>295275</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66675</xdr:colOff>
                    <xdr:row>11</xdr:row>
                    <xdr:rowOff>180975</xdr:rowOff>
                  </from>
                  <to>
                    <xdr:col>12</xdr:col>
                    <xdr:colOff>295275</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66675</xdr:colOff>
                    <xdr:row>12</xdr:row>
                    <xdr:rowOff>180975</xdr:rowOff>
                  </from>
                  <to>
                    <xdr:col>12</xdr:col>
                    <xdr:colOff>295275</xdr:colOff>
                    <xdr:row>14</xdr:row>
                    <xdr:rowOff>28575</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66675</xdr:colOff>
                    <xdr:row>13</xdr:row>
                    <xdr:rowOff>180975</xdr:rowOff>
                  </from>
                  <to>
                    <xdr:col>12</xdr:col>
                    <xdr:colOff>295275</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66675</xdr:colOff>
                    <xdr:row>14</xdr:row>
                    <xdr:rowOff>171450</xdr:rowOff>
                  </from>
                  <to>
                    <xdr:col>12</xdr:col>
                    <xdr:colOff>295275</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66675</xdr:colOff>
                    <xdr:row>15</xdr:row>
                    <xdr:rowOff>171450</xdr:rowOff>
                  </from>
                  <to>
                    <xdr:col>12</xdr:col>
                    <xdr:colOff>295275</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66675</xdr:colOff>
                    <xdr:row>16</xdr:row>
                    <xdr:rowOff>180975</xdr:rowOff>
                  </from>
                  <to>
                    <xdr:col>12</xdr:col>
                    <xdr:colOff>295275</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66675</xdr:colOff>
                    <xdr:row>17</xdr:row>
                    <xdr:rowOff>180975</xdr:rowOff>
                  </from>
                  <to>
                    <xdr:col>12</xdr:col>
                    <xdr:colOff>295275</xdr:colOff>
                    <xdr:row>19</xdr:row>
                    <xdr:rowOff>28575</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66675</xdr:colOff>
                    <xdr:row>18</xdr:row>
                    <xdr:rowOff>180975</xdr:rowOff>
                  </from>
                  <to>
                    <xdr:col>12</xdr:col>
                    <xdr:colOff>295275</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66675</xdr:colOff>
                    <xdr:row>19</xdr:row>
                    <xdr:rowOff>171450</xdr:rowOff>
                  </from>
                  <to>
                    <xdr:col>12</xdr:col>
                    <xdr:colOff>295275</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66675</xdr:colOff>
                    <xdr:row>20</xdr:row>
                    <xdr:rowOff>171450</xdr:rowOff>
                  </from>
                  <to>
                    <xdr:col>12</xdr:col>
                    <xdr:colOff>295275</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66675</xdr:colOff>
                    <xdr:row>21</xdr:row>
                    <xdr:rowOff>171450</xdr:rowOff>
                  </from>
                  <to>
                    <xdr:col>12</xdr:col>
                    <xdr:colOff>295275</xdr:colOff>
                    <xdr:row>23</xdr:row>
                    <xdr:rowOff>19050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66675</xdr:colOff>
                    <xdr:row>22</xdr:row>
                    <xdr:rowOff>171450</xdr:rowOff>
                  </from>
                  <to>
                    <xdr:col>12</xdr:col>
                    <xdr:colOff>295275</xdr:colOff>
                    <xdr:row>24</xdr:row>
                    <xdr:rowOff>19050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66675</xdr:colOff>
                    <xdr:row>23</xdr:row>
                    <xdr:rowOff>180975</xdr:rowOff>
                  </from>
                  <to>
                    <xdr:col>12</xdr:col>
                    <xdr:colOff>295275</xdr:colOff>
                    <xdr:row>25</xdr:row>
                    <xdr:rowOff>57150</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66675</xdr:colOff>
                    <xdr:row>24</xdr:row>
                    <xdr:rowOff>180975</xdr:rowOff>
                  </from>
                  <to>
                    <xdr:col>12</xdr:col>
                    <xdr:colOff>295275</xdr:colOff>
                    <xdr:row>26</xdr:row>
                    <xdr:rowOff>28575</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66675</xdr:colOff>
                    <xdr:row>25</xdr:row>
                    <xdr:rowOff>180975</xdr:rowOff>
                  </from>
                  <to>
                    <xdr:col>12</xdr:col>
                    <xdr:colOff>295275</xdr:colOff>
                    <xdr:row>27</xdr:row>
                    <xdr:rowOff>28575</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66675</xdr:colOff>
                    <xdr:row>26</xdr:row>
                    <xdr:rowOff>180975</xdr:rowOff>
                  </from>
                  <to>
                    <xdr:col>12</xdr:col>
                    <xdr:colOff>295275</xdr:colOff>
                    <xdr:row>28</xdr:row>
                    <xdr:rowOff>28575</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66675</xdr:colOff>
                    <xdr:row>27</xdr:row>
                    <xdr:rowOff>171450</xdr:rowOff>
                  </from>
                  <to>
                    <xdr:col>12</xdr:col>
                    <xdr:colOff>295275</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295275</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180975</xdr:rowOff>
                  </from>
                  <to>
                    <xdr:col>12</xdr:col>
                    <xdr:colOff>295275</xdr:colOff>
                    <xdr:row>31</xdr:row>
                    <xdr:rowOff>28575</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180975</xdr:rowOff>
                  </from>
                  <to>
                    <xdr:col>12</xdr:col>
                    <xdr:colOff>295275</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66675</xdr:colOff>
                    <xdr:row>32</xdr:row>
                    <xdr:rowOff>0</xdr:rowOff>
                  </from>
                  <to>
                    <xdr:col>11</xdr:col>
                    <xdr:colOff>285750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66675</xdr:colOff>
                    <xdr:row>32</xdr:row>
                    <xdr:rowOff>180975</xdr:rowOff>
                  </from>
                  <to>
                    <xdr:col>11</xdr:col>
                    <xdr:colOff>285750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66675</xdr:colOff>
                    <xdr:row>33</xdr:row>
                    <xdr:rowOff>180975</xdr:rowOff>
                  </from>
                  <to>
                    <xdr:col>11</xdr:col>
                    <xdr:colOff>285750</xdr:colOff>
                    <xdr:row>35</xdr:row>
                    <xdr:rowOff>19050</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66675</xdr:colOff>
                    <xdr:row>34</xdr:row>
                    <xdr:rowOff>180975</xdr:rowOff>
                  </from>
                  <to>
                    <xdr:col>11</xdr:col>
                    <xdr:colOff>285750</xdr:colOff>
                    <xdr:row>36</xdr:row>
                    <xdr:rowOff>19050</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66675</xdr:colOff>
                    <xdr:row>35</xdr:row>
                    <xdr:rowOff>171450</xdr:rowOff>
                  </from>
                  <to>
                    <xdr:col>11</xdr:col>
                    <xdr:colOff>285750</xdr:colOff>
                    <xdr:row>37</xdr:row>
                    <xdr:rowOff>19050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66675</xdr:colOff>
                    <xdr:row>32</xdr:row>
                    <xdr:rowOff>0</xdr:rowOff>
                  </from>
                  <to>
                    <xdr:col>12</xdr:col>
                    <xdr:colOff>295275</xdr:colOff>
                    <xdr:row>33</xdr:row>
                    <xdr:rowOff>28575</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66675</xdr:colOff>
                    <xdr:row>32</xdr:row>
                    <xdr:rowOff>171450</xdr:rowOff>
                  </from>
                  <to>
                    <xdr:col>12</xdr:col>
                    <xdr:colOff>295275</xdr:colOff>
                    <xdr:row>34</xdr:row>
                    <xdr:rowOff>19050</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66675</xdr:colOff>
                    <xdr:row>33</xdr:row>
                    <xdr:rowOff>171450</xdr:rowOff>
                  </from>
                  <to>
                    <xdr:col>12</xdr:col>
                    <xdr:colOff>295275</xdr:colOff>
                    <xdr:row>35</xdr:row>
                    <xdr:rowOff>19050</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66675</xdr:colOff>
                    <xdr:row>34</xdr:row>
                    <xdr:rowOff>171450</xdr:rowOff>
                  </from>
                  <to>
                    <xdr:col>12</xdr:col>
                    <xdr:colOff>295275</xdr:colOff>
                    <xdr:row>36</xdr:row>
                    <xdr:rowOff>19050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66675</xdr:colOff>
                    <xdr:row>35</xdr:row>
                    <xdr:rowOff>171450</xdr:rowOff>
                  </from>
                  <to>
                    <xdr:col>12</xdr:col>
                    <xdr:colOff>295275</xdr:colOff>
                    <xdr:row>37</xdr:row>
                    <xdr:rowOff>19050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180975</xdr:rowOff>
                  </from>
                  <to>
                    <xdr:col>11</xdr:col>
                    <xdr:colOff>295275</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180975</xdr:rowOff>
                  </from>
                  <to>
                    <xdr:col>11</xdr:col>
                    <xdr:colOff>295275</xdr:colOff>
                    <xdr:row>39</xdr:row>
                    <xdr:rowOff>19050</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180975</xdr:rowOff>
                  </from>
                  <to>
                    <xdr:col>11</xdr:col>
                    <xdr:colOff>295275</xdr:colOff>
                    <xdr:row>40</xdr:row>
                    <xdr:rowOff>19050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180975</xdr:rowOff>
                  </from>
                  <to>
                    <xdr:col>11</xdr:col>
                    <xdr:colOff>295275</xdr:colOff>
                    <xdr:row>41</xdr:row>
                    <xdr:rowOff>19050</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180975</xdr:rowOff>
                  </from>
                  <to>
                    <xdr:col>12</xdr:col>
                    <xdr:colOff>295275</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180975</xdr:rowOff>
                  </from>
                  <to>
                    <xdr:col>12</xdr:col>
                    <xdr:colOff>295275</xdr:colOff>
                    <xdr:row>39</xdr:row>
                    <xdr:rowOff>19050</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180975</xdr:rowOff>
                  </from>
                  <to>
                    <xdr:col>12</xdr:col>
                    <xdr:colOff>295275</xdr:colOff>
                    <xdr:row>40</xdr:row>
                    <xdr:rowOff>19050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180975</xdr:rowOff>
                  </from>
                  <to>
                    <xdr:col>12</xdr:col>
                    <xdr:colOff>295275</xdr:colOff>
                    <xdr:row>41</xdr:row>
                    <xdr:rowOff>19050</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66675</xdr:colOff>
                    <xdr:row>8</xdr:row>
                    <xdr:rowOff>476250</xdr:rowOff>
                  </from>
                  <to>
                    <xdr:col>12</xdr:col>
                    <xdr:colOff>295275</xdr:colOff>
                    <xdr:row>10</xdr:row>
                    <xdr:rowOff>57150</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66675</xdr:colOff>
                    <xdr:row>9</xdr:row>
                    <xdr:rowOff>180975</xdr:rowOff>
                  </from>
                  <to>
                    <xdr:col>12</xdr:col>
                    <xdr:colOff>295275</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133350</xdr:colOff>
                    <xdr:row>8</xdr:row>
                    <xdr:rowOff>361950</xdr:rowOff>
                  </from>
                  <to>
                    <xdr:col>21</xdr:col>
                    <xdr:colOff>361950</xdr:colOff>
                    <xdr:row>10</xdr:row>
                    <xdr:rowOff>28575</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133350</xdr:colOff>
                    <xdr:row>8</xdr:row>
                    <xdr:rowOff>361950</xdr:rowOff>
                  </from>
                  <to>
                    <xdr:col>22</xdr:col>
                    <xdr:colOff>361950</xdr:colOff>
                    <xdr:row>10</xdr:row>
                    <xdr:rowOff>19050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142875</xdr:colOff>
                    <xdr:row>9</xdr:row>
                    <xdr:rowOff>171450</xdr:rowOff>
                  </from>
                  <to>
                    <xdr:col>21</xdr:col>
                    <xdr:colOff>371475</xdr:colOff>
                    <xdr:row>11</xdr:row>
                    <xdr:rowOff>28575</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133350</xdr:colOff>
                    <xdr:row>9</xdr:row>
                    <xdr:rowOff>152400</xdr:rowOff>
                  </from>
                  <to>
                    <xdr:col>22</xdr:col>
                    <xdr:colOff>361950</xdr:colOff>
                    <xdr:row>11</xdr:row>
                    <xdr:rowOff>28575</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142875</xdr:colOff>
                    <xdr:row>10</xdr:row>
                    <xdr:rowOff>171450</xdr:rowOff>
                  </from>
                  <to>
                    <xdr:col>21</xdr:col>
                    <xdr:colOff>371475</xdr:colOff>
                    <xdr:row>12</xdr:row>
                    <xdr:rowOff>28575</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133350</xdr:colOff>
                    <xdr:row>10</xdr:row>
                    <xdr:rowOff>152400</xdr:rowOff>
                  </from>
                  <to>
                    <xdr:col>22</xdr:col>
                    <xdr:colOff>361950</xdr:colOff>
                    <xdr:row>12</xdr:row>
                    <xdr:rowOff>19050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142875</xdr:colOff>
                    <xdr:row>11</xdr:row>
                    <xdr:rowOff>171450</xdr:rowOff>
                  </from>
                  <to>
                    <xdr:col>21</xdr:col>
                    <xdr:colOff>371475</xdr:colOff>
                    <xdr:row>13</xdr:row>
                    <xdr:rowOff>28575</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133350</xdr:colOff>
                    <xdr:row>11</xdr:row>
                    <xdr:rowOff>152400</xdr:rowOff>
                  </from>
                  <to>
                    <xdr:col>22</xdr:col>
                    <xdr:colOff>361950</xdr:colOff>
                    <xdr:row>13</xdr:row>
                    <xdr:rowOff>19050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142875</xdr:colOff>
                    <xdr:row>12</xdr:row>
                    <xdr:rowOff>171450</xdr:rowOff>
                  </from>
                  <to>
                    <xdr:col>21</xdr:col>
                    <xdr:colOff>371475</xdr:colOff>
                    <xdr:row>14</xdr:row>
                    <xdr:rowOff>19050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133350</xdr:colOff>
                    <xdr:row>12</xdr:row>
                    <xdr:rowOff>152400</xdr:rowOff>
                  </from>
                  <to>
                    <xdr:col>22</xdr:col>
                    <xdr:colOff>361950</xdr:colOff>
                    <xdr:row>14</xdr:row>
                    <xdr:rowOff>19050</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142875</xdr:colOff>
                    <xdr:row>13</xdr:row>
                    <xdr:rowOff>171450</xdr:rowOff>
                  </from>
                  <to>
                    <xdr:col>21</xdr:col>
                    <xdr:colOff>371475</xdr:colOff>
                    <xdr:row>15</xdr:row>
                    <xdr:rowOff>19050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133350</xdr:colOff>
                    <xdr:row>13</xdr:row>
                    <xdr:rowOff>152400</xdr:rowOff>
                  </from>
                  <to>
                    <xdr:col>22</xdr:col>
                    <xdr:colOff>361950</xdr:colOff>
                    <xdr:row>15</xdr:row>
                    <xdr:rowOff>19050</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142875</xdr:colOff>
                    <xdr:row>14</xdr:row>
                    <xdr:rowOff>171450</xdr:rowOff>
                  </from>
                  <to>
                    <xdr:col>21</xdr:col>
                    <xdr:colOff>371475</xdr:colOff>
                    <xdr:row>16</xdr:row>
                    <xdr:rowOff>28575</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133350</xdr:colOff>
                    <xdr:row>14</xdr:row>
                    <xdr:rowOff>152400</xdr:rowOff>
                  </from>
                  <to>
                    <xdr:col>22</xdr:col>
                    <xdr:colOff>361950</xdr:colOff>
                    <xdr:row>16</xdr:row>
                    <xdr:rowOff>19050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142875</xdr:colOff>
                    <xdr:row>15</xdr:row>
                    <xdr:rowOff>171450</xdr:rowOff>
                  </from>
                  <to>
                    <xdr:col>21</xdr:col>
                    <xdr:colOff>371475</xdr:colOff>
                    <xdr:row>17</xdr:row>
                    <xdr:rowOff>28575</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133350</xdr:colOff>
                    <xdr:row>15</xdr:row>
                    <xdr:rowOff>152400</xdr:rowOff>
                  </from>
                  <to>
                    <xdr:col>22</xdr:col>
                    <xdr:colOff>361950</xdr:colOff>
                    <xdr:row>17</xdr:row>
                    <xdr:rowOff>19050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142875</xdr:colOff>
                    <xdr:row>16</xdr:row>
                    <xdr:rowOff>171450</xdr:rowOff>
                  </from>
                  <to>
                    <xdr:col>21</xdr:col>
                    <xdr:colOff>371475</xdr:colOff>
                    <xdr:row>18</xdr:row>
                    <xdr:rowOff>28575</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133350</xdr:colOff>
                    <xdr:row>16</xdr:row>
                    <xdr:rowOff>152400</xdr:rowOff>
                  </from>
                  <to>
                    <xdr:col>22</xdr:col>
                    <xdr:colOff>361950</xdr:colOff>
                    <xdr:row>18</xdr:row>
                    <xdr:rowOff>19050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142875</xdr:colOff>
                    <xdr:row>17</xdr:row>
                    <xdr:rowOff>171450</xdr:rowOff>
                  </from>
                  <to>
                    <xdr:col>21</xdr:col>
                    <xdr:colOff>371475</xdr:colOff>
                    <xdr:row>19</xdr:row>
                    <xdr:rowOff>19050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133350</xdr:colOff>
                    <xdr:row>17</xdr:row>
                    <xdr:rowOff>152400</xdr:rowOff>
                  </from>
                  <to>
                    <xdr:col>22</xdr:col>
                    <xdr:colOff>361950</xdr:colOff>
                    <xdr:row>19</xdr:row>
                    <xdr:rowOff>19050</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142875</xdr:colOff>
                    <xdr:row>18</xdr:row>
                    <xdr:rowOff>171450</xdr:rowOff>
                  </from>
                  <to>
                    <xdr:col>21</xdr:col>
                    <xdr:colOff>371475</xdr:colOff>
                    <xdr:row>20</xdr:row>
                    <xdr:rowOff>19050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133350</xdr:colOff>
                    <xdr:row>18</xdr:row>
                    <xdr:rowOff>152400</xdr:rowOff>
                  </from>
                  <to>
                    <xdr:col>22</xdr:col>
                    <xdr:colOff>361950</xdr:colOff>
                    <xdr:row>20</xdr:row>
                    <xdr:rowOff>19050</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142875</xdr:colOff>
                    <xdr:row>19</xdr:row>
                    <xdr:rowOff>171450</xdr:rowOff>
                  </from>
                  <to>
                    <xdr:col>21</xdr:col>
                    <xdr:colOff>371475</xdr:colOff>
                    <xdr:row>21</xdr:row>
                    <xdr:rowOff>28575</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133350</xdr:colOff>
                    <xdr:row>19</xdr:row>
                    <xdr:rowOff>152400</xdr:rowOff>
                  </from>
                  <to>
                    <xdr:col>22</xdr:col>
                    <xdr:colOff>361950</xdr:colOff>
                    <xdr:row>21</xdr:row>
                    <xdr:rowOff>19050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142875</xdr:colOff>
                    <xdr:row>20</xdr:row>
                    <xdr:rowOff>171450</xdr:rowOff>
                  </from>
                  <to>
                    <xdr:col>21</xdr:col>
                    <xdr:colOff>371475</xdr:colOff>
                    <xdr:row>22</xdr:row>
                    <xdr:rowOff>28575</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133350</xdr:colOff>
                    <xdr:row>20</xdr:row>
                    <xdr:rowOff>152400</xdr:rowOff>
                  </from>
                  <to>
                    <xdr:col>22</xdr:col>
                    <xdr:colOff>361950</xdr:colOff>
                    <xdr:row>22</xdr:row>
                    <xdr:rowOff>19050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142875</xdr:colOff>
                    <xdr:row>21</xdr:row>
                    <xdr:rowOff>171450</xdr:rowOff>
                  </from>
                  <to>
                    <xdr:col>21</xdr:col>
                    <xdr:colOff>371475</xdr:colOff>
                    <xdr:row>23</xdr:row>
                    <xdr:rowOff>28575</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133350</xdr:colOff>
                    <xdr:row>21</xdr:row>
                    <xdr:rowOff>152400</xdr:rowOff>
                  </from>
                  <to>
                    <xdr:col>22</xdr:col>
                    <xdr:colOff>361950</xdr:colOff>
                    <xdr:row>23</xdr:row>
                    <xdr:rowOff>19050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142875</xdr:colOff>
                    <xdr:row>22</xdr:row>
                    <xdr:rowOff>171450</xdr:rowOff>
                  </from>
                  <to>
                    <xdr:col>21</xdr:col>
                    <xdr:colOff>371475</xdr:colOff>
                    <xdr:row>24</xdr:row>
                    <xdr:rowOff>19050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133350</xdr:colOff>
                    <xdr:row>22</xdr:row>
                    <xdr:rowOff>152400</xdr:rowOff>
                  </from>
                  <to>
                    <xdr:col>22</xdr:col>
                    <xdr:colOff>361950</xdr:colOff>
                    <xdr:row>24</xdr:row>
                    <xdr:rowOff>19050</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142875</xdr:colOff>
                    <xdr:row>23</xdr:row>
                    <xdr:rowOff>171450</xdr:rowOff>
                  </from>
                  <to>
                    <xdr:col>21</xdr:col>
                    <xdr:colOff>371475</xdr:colOff>
                    <xdr:row>25</xdr:row>
                    <xdr:rowOff>19050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133350</xdr:colOff>
                    <xdr:row>23</xdr:row>
                    <xdr:rowOff>152400</xdr:rowOff>
                  </from>
                  <to>
                    <xdr:col>22</xdr:col>
                    <xdr:colOff>361950</xdr:colOff>
                    <xdr:row>25</xdr:row>
                    <xdr:rowOff>19050</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142875</xdr:colOff>
                    <xdr:row>24</xdr:row>
                    <xdr:rowOff>171450</xdr:rowOff>
                  </from>
                  <to>
                    <xdr:col>21</xdr:col>
                    <xdr:colOff>371475</xdr:colOff>
                    <xdr:row>26</xdr:row>
                    <xdr:rowOff>28575</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133350</xdr:colOff>
                    <xdr:row>24</xdr:row>
                    <xdr:rowOff>152400</xdr:rowOff>
                  </from>
                  <to>
                    <xdr:col>22</xdr:col>
                    <xdr:colOff>361950</xdr:colOff>
                    <xdr:row>26</xdr:row>
                    <xdr:rowOff>19050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142875</xdr:colOff>
                    <xdr:row>25</xdr:row>
                    <xdr:rowOff>171450</xdr:rowOff>
                  </from>
                  <to>
                    <xdr:col>21</xdr:col>
                    <xdr:colOff>371475</xdr:colOff>
                    <xdr:row>27</xdr:row>
                    <xdr:rowOff>28575</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133350</xdr:colOff>
                    <xdr:row>25</xdr:row>
                    <xdr:rowOff>152400</xdr:rowOff>
                  </from>
                  <to>
                    <xdr:col>22</xdr:col>
                    <xdr:colOff>361950</xdr:colOff>
                    <xdr:row>27</xdr:row>
                    <xdr:rowOff>19050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142875</xdr:colOff>
                    <xdr:row>26</xdr:row>
                    <xdr:rowOff>171450</xdr:rowOff>
                  </from>
                  <to>
                    <xdr:col>21</xdr:col>
                    <xdr:colOff>371475</xdr:colOff>
                    <xdr:row>28</xdr:row>
                    <xdr:rowOff>28575</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133350</xdr:colOff>
                    <xdr:row>26</xdr:row>
                    <xdr:rowOff>152400</xdr:rowOff>
                  </from>
                  <to>
                    <xdr:col>22</xdr:col>
                    <xdr:colOff>361950</xdr:colOff>
                    <xdr:row>28</xdr:row>
                    <xdr:rowOff>19050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142875</xdr:colOff>
                    <xdr:row>27</xdr:row>
                    <xdr:rowOff>171450</xdr:rowOff>
                  </from>
                  <to>
                    <xdr:col>21</xdr:col>
                    <xdr:colOff>371475</xdr:colOff>
                    <xdr:row>29</xdr:row>
                    <xdr:rowOff>19050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133350</xdr:colOff>
                    <xdr:row>27</xdr:row>
                    <xdr:rowOff>152400</xdr:rowOff>
                  </from>
                  <to>
                    <xdr:col>22</xdr:col>
                    <xdr:colOff>361950</xdr:colOff>
                    <xdr:row>29</xdr:row>
                    <xdr:rowOff>19050</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142875</xdr:colOff>
                    <xdr:row>28</xdr:row>
                    <xdr:rowOff>171450</xdr:rowOff>
                  </from>
                  <to>
                    <xdr:col>21</xdr:col>
                    <xdr:colOff>371475</xdr:colOff>
                    <xdr:row>30</xdr:row>
                    <xdr:rowOff>19050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133350</xdr:colOff>
                    <xdr:row>28</xdr:row>
                    <xdr:rowOff>152400</xdr:rowOff>
                  </from>
                  <to>
                    <xdr:col>22</xdr:col>
                    <xdr:colOff>361950</xdr:colOff>
                    <xdr:row>30</xdr:row>
                    <xdr:rowOff>19050</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142875</xdr:colOff>
                    <xdr:row>29</xdr:row>
                    <xdr:rowOff>171450</xdr:rowOff>
                  </from>
                  <to>
                    <xdr:col>21</xdr:col>
                    <xdr:colOff>371475</xdr:colOff>
                    <xdr:row>31</xdr:row>
                    <xdr:rowOff>28575</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133350</xdr:colOff>
                    <xdr:row>29</xdr:row>
                    <xdr:rowOff>152400</xdr:rowOff>
                  </from>
                  <to>
                    <xdr:col>22</xdr:col>
                    <xdr:colOff>361950</xdr:colOff>
                    <xdr:row>31</xdr:row>
                    <xdr:rowOff>19050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142875</xdr:colOff>
                    <xdr:row>30</xdr:row>
                    <xdr:rowOff>171450</xdr:rowOff>
                  </from>
                  <to>
                    <xdr:col>21</xdr:col>
                    <xdr:colOff>371475</xdr:colOff>
                    <xdr:row>32</xdr:row>
                    <xdr:rowOff>28575</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133350</xdr:colOff>
                    <xdr:row>30</xdr:row>
                    <xdr:rowOff>152400</xdr:rowOff>
                  </from>
                  <to>
                    <xdr:col>22</xdr:col>
                    <xdr:colOff>361950</xdr:colOff>
                    <xdr:row>32</xdr:row>
                    <xdr:rowOff>19050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142875</xdr:colOff>
                    <xdr:row>31</xdr:row>
                    <xdr:rowOff>171450</xdr:rowOff>
                  </from>
                  <to>
                    <xdr:col>21</xdr:col>
                    <xdr:colOff>371475</xdr:colOff>
                    <xdr:row>33</xdr:row>
                    <xdr:rowOff>28575</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133350</xdr:colOff>
                    <xdr:row>31</xdr:row>
                    <xdr:rowOff>152400</xdr:rowOff>
                  </from>
                  <to>
                    <xdr:col>22</xdr:col>
                    <xdr:colOff>361950</xdr:colOff>
                    <xdr:row>33</xdr:row>
                    <xdr:rowOff>19050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142875</xdr:colOff>
                    <xdr:row>32</xdr:row>
                    <xdr:rowOff>171450</xdr:rowOff>
                  </from>
                  <to>
                    <xdr:col>21</xdr:col>
                    <xdr:colOff>371475</xdr:colOff>
                    <xdr:row>34</xdr:row>
                    <xdr:rowOff>19050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133350</xdr:colOff>
                    <xdr:row>32</xdr:row>
                    <xdr:rowOff>152400</xdr:rowOff>
                  </from>
                  <to>
                    <xdr:col>22</xdr:col>
                    <xdr:colOff>361950</xdr:colOff>
                    <xdr:row>34</xdr:row>
                    <xdr:rowOff>19050</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142875</xdr:colOff>
                    <xdr:row>33</xdr:row>
                    <xdr:rowOff>171450</xdr:rowOff>
                  </from>
                  <to>
                    <xdr:col>21</xdr:col>
                    <xdr:colOff>371475</xdr:colOff>
                    <xdr:row>35</xdr:row>
                    <xdr:rowOff>19050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133350</xdr:colOff>
                    <xdr:row>33</xdr:row>
                    <xdr:rowOff>152400</xdr:rowOff>
                  </from>
                  <to>
                    <xdr:col>22</xdr:col>
                    <xdr:colOff>361950</xdr:colOff>
                    <xdr:row>35</xdr:row>
                    <xdr:rowOff>19050</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142875</xdr:colOff>
                    <xdr:row>34</xdr:row>
                    <xdr:rowOff>171450</xdr:rowOff>
                  </from>
                  <to>
                    <xdr:col>21</xdr:col>
                    <xdr:colOff>371475</xdr:colOff>
                    <xdr:row>36</xdr:row>
                    <xdr:rowOff>28575</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133350</xdr:colOff>
                    <xdr:row>34</xdr:row>
                    <xdr:rowOff>152400</xdr:rowOff>
                  </from>
                  <to>
                    <xdr:col>22</xdr:col>
                    <xdr:colOff>361950</xdr:colOff>
                    <xdr:row>36</xdr:row>
                    <xdr:rowOff>19050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142875</xdr:colOff>
                    <xdr:row>35</xdr:row>
                    <xdr:rowOff>171450</xdr:rowOff>
                  </from>
                  <to>
                    <xdr:col>21</xdr:col>
                    <xdr:colOff>371475</xdr:colOff>
                    <xdr:row>37</xdr:row>
                    <xdr:rowOff>28575</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133350</xdr:colOff>
                    <xdr:row>35</xdr:row>
                    <xdr:rowOff>152400</xdr:rowOff>
                  </from>
                  <to>
                    <xdr:col>22</xdr:col>
                    <xdr:colOff>361950</xdr:colOff>
                    <xdr:row>37</xdr:row>
                    <xdr:rowOff>19050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142875</xdr:colOff>
                    <xdr:row>36</xdr:row>
                    <xdr:rowOff>171450</xdr:rowOff>
                  </from>
                  <to>
                    <xdr:col>21</xdr:col>
                    <xdr:colOff>371475</xdr:colOff>
                    <xdr:row>38</xdr:row>
                    <xdr:rowOff>28575</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133350</xdr:colOff>
                    <xdr:row>36</xdr:row>
                    <xdr:rowOff>152400</xdr:rowOff>
                  </from>
                  <to>
                    <xdr:col>22</xdr:col>
                    <xdr:colOff>361950</xdr:colOff>
                    <xdr:row>38</xdr:row>
                    <xdr:rowOff>19050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142875</xdr:colOff>
                    <xdr:row>37</xdr:row>
                    <xdr:rowOff>171450</xdr:rowOff>
                  </from>
                  <to>
                    <xdr:col>21</xdr:col>
                    <xdr:colOff>371475</xdr:colOff>
                    <xdr:row>39</xdr:row>
                    <xdr:rowOff>19050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133350</xdr:colOff>
                    <xdr:row>37</xdr:row>
                    <xdr:rowOff>152400</xdr:rowOff>
                  </from>
                  <to>
                    <xdr:col>22</xdr:col>
                    <xdr:colOff>361950</xdr:colOff>
                    <xdr:row>39</xdr:row>
                    <xdr:rowOff>19050</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142875</xdr:colOff>
                    <xdr:row>38</xdr:row>
                    <xdr:rowOff>171450</xdr:rowOff>
                  </from>
                  <to>
                    <xdr:col>21</xdr:col>
                    <xdr:colOff>371475</xdr:colOff>
                    <xdr:row>40</xdr:row>
                    <xdr:rowOff>19050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133350</xdr:colOff>
                    <xdr:row>38</xdr:row>
                    <xdr:rowOff>152400</xdr:rowOff>
                  </from>
                  <to>
                    <xdr:col>22</xdr:col>
                    <xdr:colOff>361950</xdr:colOff>
                    <xdr:row>40</xdr:row>
                    <xdr:rowOff>19050</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142875</xdr:colOff>
                    <xdr:row>39</xdr:row>
                    <xdr:rowOff>171450</xdr:rowOff>
                  </from>
                  <to>
                    <xdr:col>21</xdr:col>
                    <xdr:colOff>371475</xdr:colOff>
                    <xdr:row>41</xdr:row>
                    <xdr:rowOff>19050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133350</xdr:colOff>
                    <xdr:row>39</xdr:row>
                    <xdr:rowOff>152400</xdr:rowOff>
                  </from>
                  <to>
                    <xdr:col>22</xdr:col>
                    <xdr:colOff>361950</xdr:colOff>
                    <xdr:row>41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INPUT_DATA!$C$10:$C$70</xm:f>
          </x14:formula1>
          <xm:sqref>B10:B41</xm:sqref>
        </x14:dataValidation>
        <x14:dataValidation type="list" showInputMessage="1" showErrorMessage="1" xr:uid="{00000000-0002-0000-0000-000002000000}">
          <x14:formula1>
            <xm:f>INPUT_DATA!$D$2:$D$7</xm:f>
          </x14:formula1>
          <xm:sqref>D10:D41</xm:sqref>
        </x14:dataValidation>
        <x14:dataValidation type="list" allowBlank="1" xr:uid="{4D1B3593-E38B-4480-B332-3A4D12642B1A}">
          <x14:formula1>
            <xm:f>INPUT_DATA!$C$10:$C$190</xm:f>
          </x14:formula1>
          <xm:sqref>C10:C41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topLeftCell="A40" zoomScale="85" zoomScaleNormal="85" workbookViewId="0">
      <selection activeCell="K16" sqref="K16"/>
    </sheetView>
  </sheetViews>
  <sheetFormatPr defaultRowHeight="15" x14ac:dyDescent="0.25"/>
  <cols>
    <col min="2" max="2" width="4.5703125" customWidth="1"/>
    <col min="3" max="4" width="17.5703125" customWidth="1"/>
    <col min="5" max="5" width="9.5703125" customWidth="1"/>
    <col min="6" max="7" width="10.5703125" customWidth="1"/>
    <col min="8" max="14" width="5.5703125" customWidth="1"/>
    <col min="15" max="15" width="6.42578125" customWidth="1"/>
    <col min="16" max="24" width="5.5703125" customWidth="1"/>
    <col min="26" max="26" width="10.28515625" customWidth="1"/>
  </cols>
  <sheetData>
    <row r="2" spans="2:27" ht="30" customHeight="1" x14ac:dyDescent="0.4">
      <c r="B2" s="25" t="s">
        <v>103</v>
      </c>
      <c r="C2" s="26"/>
      <c r="D2" s="26"/>
      <c r="E2" s="26"/>
      <c r="F2" s="13"/>
      <c r="G2" s="13"/>
      <c r="H2" s="13"/>
      <c r="I2" s="13"/>
      <c r="J2" s="13"/>
      <c r="K2" s="13"/>
      <c r="L2" s="13"/>
      <c r="M2" s="13"/>
      <c r="N2" s="13"/>
      <c r="O2" s="13"/>
      <c r="P2" s="13"/>
      <c r="Q2" s="13"/>
      <c r="R2" s="13"/>
      <c r="S2" s="13"/>
      <c r="T2" s="13"/>
      <c r="U2" s="13"/>
      <c r="V2" s="13"/>
      <c r="W2" s="331" t="s">
        <v>104</v>
      </c>
      <c r="X2" s="331"/>
      <c r="Y2" s="331"/>
    </row>
    <row r="3" spans="2:27" ht="27" customHeight="1" x14ac:dyDescent="0.35">
      <c r="B3" s="27"/>
      <c r="C3" s="26"/>
      <c r="D3" s="26"/>
      <c r="E3" s="26"/>
      <c r="F3" s="13"/>
      <c r="G3" s="13"/>
      <c r="H3" s="13"/>
      <c r="I3" s="13"/>
      <c r="J3" s="13"/>
      <c r="K3" s="13"/>
      <c r="L3" s="13"/>
      <c r="M3" s="13"/>
      <c r="N3" s="13"/>
      <c r="O3" s="13"/>
      <c r="P3" s="13"/>
      <c r="Q3" s="13"/>
      <c r="R3" s="13"/>
      <c r="S3" s="13"/>
      <c r="T3" s="13"/>
      <c r="U3" s="13"/>
      <c r="V3" s="13"/>
      <c r="W3" s="331"/>
      <c r="X3" s="331"/>
      <c r="Y3" s="331"/>
    </row>
    <row r="4" spans="2:27" ht="18.75" x14ac:dyDescent="0.25">
      <c r="B4" s="13"/>
      <c r="C4" s="45" t="s">
        <v>119</v>
      </c>
      <c r="D4" s="289" t="s">
        <v>2</v>
      </c>
      <c r="E4" s="289"/>
      <c r="F4" s="53" t="str">
        <f>IF(ISBLANK('2965D'!$F$2), "", '2965D'!$F$2)</f>
        <v/>
      </c>
      <c r="G4" s="46"/>
      <c r="H4" s="289" t="s">
        <v>3</v>
      </c>
      <c r="I4" s="289"/>
      <c r="J4" s="289"/>
      <c r="K4" s="289"/>
      <c r="L4" s="53" t="str">
        <f>IF(ISBLANK('2965D'!$L$2), "", '2965D'!$L$2)</f>
        <v/>
      </c>
      <c r="M4" s="47"/>
      <c r="N4" s="46"/>
      <c r="O4" s="289" t="s">
        <v>4</v>
      </c>
      <c r="P4" s="289"/>
      <c r="Q4" s="298" t="str">
        <f>IF(ISBLANK('2965D'!$O$2),"",'2965D'!$O$2)</f>
        <v/>
      </c>
      <c r="R4" s="298"/>
      <c r="S4" s="298"/>
      <c r="T4" s="54"/>
      <c r="U4" s="48"/>
      <c r="V4" s="48"/>
      <c r="W4" s="48"/>
      <c r="X4" s="49"/>
      <c r="Y4" s="49"/>
    </row>
    <row r="5" spans="2:27" ht="15.75" thickBot="1" x14ac:dyDescent="0.3">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25">
      <c r="B6" s="325" t="s">
        <v>105</v>
      </c>
      <c r="C6" s="325" t="s">
        <v>106</v>
      </c>
      <c r="D6" s="325" t="s">
        <v>107</v>
      </c>
      <c r="E6" s="322" t="s">
        <v>21</v>
      </c>
      <c r="F6" s="328" t="s">
        <v>108</v>
      </c>
      <c r="G6" s="325" t="s">
        <v>23</v>
      </c>
      <c r="H6" s="332" t="s">
        <v>6</v>
      </c>
      <c r="I6" s="316"/>
      <c r="J6" s="308"/>
      <c r="K6" s="307" t="s">
        <v>7</v>
      </c>
      <c r="L6" s="309"/>
      <c r="M6" s="307" t="s">
        <v>8</v>
      </c>
      <c r="N6" s="308"/>
      <c r="O6" s="325" t="s">
        <v>109</v>
      </c>
      <c r="P6" s="335" t="s">
        <v>110</v>
      </c>
      <c r="Q6" s="316"/>
      <c r="R6" s="316"/>
      <c r="S6" s="316"/>
      <c r="T6" s="316"/>
      <c r="U6" s="316"/>
      <c r="V6" s="308"/>
      <c r="W6" s="325" t="s">
        <v>111</v>
      </c>
      <c r="X6" s="322" t="s">
        <v>12</v>
      </c>
      <c r="Y6" s="312" t="s">
        <v>112</v>
      </c>
    </row>
    <row r="7" spans="2:27" x14ac:dyDescent="0.25">
      <c r="B7" s="326"/>
      <c r="C7" s="326"/>
      <c r="D7" s="326"/>
      <c r="E7" s="323"/>
      <c r="F7" s="329"/>
      <c r="G7" s="326"/>
      <c r="H7" s="31" t="s">
        <v>113</v>
      </c>
      <c r="I7" s="29" t="s">
        <v>15</v>
      </c>
      <c r="J7" s="32" t="s">
        <v>16</v>
      </c>
      <c r="K7" s="28" t="s">
        <v>17</v>
      </c>
      <c r="L7" s="30" t="s">
        <v>18</v>
      </c>
      <c r="M7" s="310"/>
      <c r="N7" s="333"/>
      <c r="O7" s="323"/>
      <c r="P7" s="336"/>
      <c r="Q7" s="317"/>
      <c r="R7" s="317"/>
      <c r="S7" s="317"/>
      <c r="T7" s="317"/>
      <c r="U7" s="317"/>
      <c r="V7" s="333"/>
      <c r="W7" s="323"/>
      <c r="X7" s="323"/>
      <c r="Y7" s="313"/>
    </row>
    <row r="8" spans="2:27" ht="15.75" thickBot="1" x14ac:dyDescent="0.3">
      <c r="B8" s="327"/>
      <c r="C8" s="327"/>
      <c r="D8" s="327"/>
      <c r="E8" s="324"/>
      <c r="F8" s="330"/>
      <c r="G8" s="327"/>
      <c r="H8" s="140" t="s">
        <v>24</v>
      </c>
      <c r="I8" s="141" t="s">
        <v>25</v>
      </c>
      <c r="J8" s="142" t="s">
        <v>26</v>
      </c>
      <c r="K8" s="143" t="s">
        <v>27</v>
      </c>
      <c r="L8" s="144" t="s">
        <v>28</v>
      </c>
      <c r="M8" s="143" t="s">
        <v>29</v>
      </c>
      <c r="N8" s="142" t="s">
        <v>30</v>
      </c>
      <c r="O8" s="334"/>
      <c r="P8" s="140">
        <v>1</v>
      </c>
      <c r="Q8" s="141">
        <v>2</v>
      </c>
      <c r="R8" s="141">
        <v>3</v>
      </c>
      <c r="S8" s="141">
        <v>4</v>
      </c>
      <c r="T8" s="141">
        <v>5</v>
      </c>
      <c r="U8" s="141">
        <v>6</v>
      </c>
      <c r="V8" s="142">
        <v>7</v>
      </c>
      <c r="W8" s="324"/>
      <c r="X8" s="324"/>
      <c r="Y8" s="314"/>
    </row>
    <row r="9" spans="2:27" ht="22.15" customHeight="1" thickBot="1" x14ac:dyDescent="0.3">
      <c r="B9" s="186">
        <v>1</v>
      </c>
      <c r="C9" s="174">
        <f>'2965D'!B10</f>
        <v>0</v>
      </c>
      <c r="D9" s="174">
        <f>'2965D'!C10</f>
        <v>0</v>
      </c>
      <c r="E9" s="175">
        <f>'2965D'!D10</f>
        <v>0</v>
      </c>
      <c r="F9" s="176">
        <f>'2965D'!E10</f>
        <v>0</v>
      </c>
      <c r="G9" s="176">
        <f>'2965D'!F10</f>
        <v>0</v>
      </c>
      <c r="H9" s="177" t="str">
        <f>IF('2965D'!G10="","",'2965D'!G10)</f>
        <v/>
      </c>
      <c r="I9" s="178" t="str">
        <f>IF('2965D'!H10="","",'2965D'!H10)</f>
        <v/>
      </c>
      <c r="J9" s="179" t="str">
        <f>IF('2965D'!I10="","",'2965D'!I10)</f>
        <v/>
      </c>
      <c r="K9" s="177" t="str">
        <f>IF('2965D'!J10="","",'2965D'!J10)</f>
        <v/>
      </c>
      <c r="L9" s="179" t="str">
        <f>IF('2965D'!K10="","",'2965D'!K10)</f>
        <v/>
      </c>
      <c r="M9" s="180" t="str">
        <f>IF(FORMATTED!K2=TRUE,"ü","")</f>
        <v/>
      </c>
      <c r="N9" s="181" t="str">
        <f>IF(FORMATTED!L2=TRUE,"ü","")</f>
        <v/>
      </c>
      <c r="O9" s="182" t="str">
        <f>IF('2965D'!N10="","",'2965D'!N10)</f>
        <v/>
      </c>
      <c r="P9" s="177" t="str">
        <f>IF('2965D'!P10="","",'2965D'!P10)</f>
        <v/>
      </c>
      <c r="Q9" s="178"/>
      <c r="R9" s="178"/>
      <c r="S9" s="178"/>
      <c r="T9" s="178"/>
      <c r="U9" s="178" t="str">
        <f>IF('2965D'!Q10="","",'2965D'!Q10)</f>
        <v/>
      </c>
      <c r="V9" s="183" t="str">
        <f>IF('2965D'!R10="","",'2965D'!R10)</f>
        <v/>
      </c>
      <c r="W9" s="184"/>
      <c r="X9" s="185" t="str">
        <f>IF(FORMATTED!H2=TRUE,"ü","")</f>
        <v/>
      </c>
      <c r="Y9" s="212" t="str">
        <f>IFERROR(VLOOKUP('2965D'!T10,Pilots[[SN Last 4]:[Pilot]],2,FALSE),"")</f>
        <v/>
      </c>
      <c r="Z9" s="200" t="str">
        <f>IF('2965D'!$G$5=B9,"Max","")</f>
        <v/>
      </c>
    </row>
    <row r="10" spans="2:27" ht="22.15" customHeight="1" thickTop="1" thickBot="1" x14ac:dyDescent="0.3">
      <c r="B10" s="187">
        <v>2</v>
      </c>
      <c r="C10" s="188">
        <f>'2965D'!B11</f>
        <v>0</v>
      </c>
      <c r="D10" s="188">
        <f>'2965D'!C11</f>
        <v>0</v>
      </c>
      <c r="E10" s="189">
        <f>'2965D'!D11</f>
        <v>0</v>
      </c>
      <c r="F10" s="190">
        <f>'2965D'!E11</f>
        <v>0</v>
      </c>
      <c r="G10" s="190">
        <f>'2965D'!F11</f>
        <v>0</v>
      </c>
      <c r="H10" s="191" t="str">
        <f>IF('2965D'!G11="","",'2965D'!G11)</f>
        <v/>
      </c>
      <c r="I10" s="192" t="str">
        <f>IF('2965D'!H11="","",'2965D'!H11)</f>
        <v/>
      </c>
      <c r="J10" s="193" t="str">
        <f>IF('2965D'!I11="","",'2965D'!I11)</f>
        <v/>
      </c>
      <c r="K10" s="191" t="str">
        <f>IF('2965D'!J11="","",'2965D'!J11)</f>
        <v/>
      </c>
      <c r="L10" s="193" t="str">
        <f>IF('2965D'!K11="","",'2965D'!K11)</f>
        <v/>
      </c>
      <c r="M10" s="194" t="str">
        <f>IF(FORMATTED!K3=TRUE,"ü","")</f>
        <v/>
      </c>
      <c r="N10" s="195" t="str">
        <f>IF(FORMATTED!L3=TRUE,"ü","")</f>
        <v/>
      </c>
      <c r="O10" s="196" t="str">
        <f>IF('2965D'!N11="","",'2965D'!N11)</f>
        <v/>
      </c>
      <c r="P10" s="191" t="str">
        <f>IF('2965D'!P11="","",'2965D'!P11)</f>
        <v/>
      </c>
      <c r="Q10" s="192"/>
      <c r="R10" s="192"/>
      <c r="S10" s="192"/>
      <c r="T10" s="192"/>
      <c r="U10" s="192" t="str">
        <f>IF('2965D'!Q11="","",'2965D'!Q11)</f>
        <v/>
      </c>
      <c r="V10" s="197" t="str">
        <f>IF('2965D'!R11="","",'2965D'!R11)</f>
        <v/>
      </c>
      <c r="W10" s="198"/>
      <c r="X10" s="199" t="str">
        <f>IF(FORMATTED!H3=TRUE,"ü","")</f>
        <v/>
      </c>
      <c r="Y10" s="212" t="str">
        <f>IFERROR(VLOOKUP('2965D'!T11,Pilots[[SN Last 4]:[Pilot]],2,FALSE),"")</f>
        <v/>
      </c>
      <c r="Z10" s="200" t="str">
        <f>IF('2965D'!$G$5=B10,"Max",IF('2965D'!$G$5=B9,"Launches",""))</f>
        <v/>
      </c>
    </row>
    <row r="11" spans="2:27" ht="22.15" customHeight="1" thickTop="1" thickBot="1" x14ac:dyDescent="0.3">
      <c r="B11" s="187">
        <v>3</v>
      </c>
      <c r="C11" s="188">
        <f>'2965D'!B12</f>
        <v>0</v>
      </c>
      <c r="D11" s="188">
        <f>'2965D'!C12</f>
        <v>0</v>
      </c>
      <c r="E11" s="189">
        <f>'2965D'!D12</f>
        <v>0</v>
      </c>
      <c r="F11" s="190">
        <f>'2965D'!E12</f>
        <v>0</v>
      </c>
      <c r="G11" s="190">
        <f>'2965D'!F12</f>
        <v>0</v>
      </c>
      <c r="H11" s="191" t="str">
        <f>IF('2965D'!G12="","",'2965D'!G12)</f>
        <v/>
      </c>
      <c r="I11" s="192" t="str">
        <f>IF('2965D'!H12="","",'2965D'!H12)</f>
        <v/>
      </c>
      <c r="J11" s="193" t="str">
        <f>IF('2965D'!I12="","",'2965D'!I12)</f>
        <v/>
      </c>
      <c r="K11" s="191" t="str">
        <f>IF('2965D'!J12="","",'2965D'!J12)</f>
        <v/>
      </c>
      <c r="L11" s="193" t="str">
        <f>IF('2965D'!K12="","",'2965D'!K12)</f>
        <v/>
      </c>
      <c r="M11" s="194" t="str">
        <f>IF(FORMATTED!K4=TRUE,"ü","")</f>
        <v/>
      </c>
      <c r="N11" s="195" t="str">
        <f>IF(FORMATTED!L4=TRUE,"ü","")</f>
        <v/>
      </c>
      <c r="O11" s="196" t="str">
        <f>IF('2965D'!N12="","",'2965D'!N12)</f>
        <v/>
      </c>
      <c r="P11" s="191" t="str">
        <f>IF('2965D'!P12="","",'2965D'!P12)</f>
        <v/>
      </c>
      <c r="Q11" s="192"/>
      <c r="R11" s="192"/>
      <c r="S11" s="192"/>
      <c r="T11" s="192"/>
      <c r="U11" s="192" t="str">
        <f>IF('2965D'!Q12="","",'2965D'!Q12)</f>
        <v/>
      </c>
      <c r="V11" s="197" t="str">
        <f>IF('2965D'!R12="","",'2965D'!R12)</f>
        <v/>
      </c>
      <c r="W11" s="198"/>
      <c r="X11" s="199" t="str">
        <f>IF(FORMATTED!H4=TRUE,"ü","")</f>
        <v/>
      </c>
      <c r="Y11" s="212" t="str">
        <f>IFERROR(VLOOKUP('2965D'!T12,Pilots[[SN Last 4]:[Pilot]],2,FALSE),"")</f>
        <v/>
      </c>
      <c r="Z11" s="200" t="str">
        <f>IF('2965D'!$G$5=B11,"Max",IF('2965D'!$G$5=B10,"Launches",""))</f>
        <v/>
      </c>
      <c r="AA11" t="s">
        <v>133</v>
      </c>
    </row>
    <row r="12" spans="2:27" ht="22.15" customHeight="1" thickTop="1" thickBot="1" x14ac:dyDescent="0.3">
      <c r="B12" s="187">
        <v>4</v>
      </c>
      <c r="C12" s="188">
        <f>'2965D'!B13</f>
        <v>0</v>
      </c>
      <c r="D12" s="188">
        <f>'2965D'!C13</f>
        <v>0</v>
      </c>
      <c r="E12" s="189">
        <f>'2965D'!D13</f>
        <v>0</v>
      </c>
      <c r="F12" s="190">
        <f>'2965D'!E13</f>
        <v>0</v>
      </c>
      <c r="G12" s="190">
        <f>'2965D'!F13</f>
        <v>0</v>
      </c>
      <c r="H12" s="191" t="str">
        <f>IF('2965D'!G13="","",'2965D'!G13)</f>
        <v/>
      </c>
      <c r="I12" s="192" t="str">
        <f>IF('2965D'!H13="","",'2965D'!H13)</f>
        <v/>
      </c>
      <c r="J12" s="193" t="str">
        <f>IF('2965D'!I13="","",'2965D'!I13)</f>
        <v/>
      </c>
      <c r="K12" s="191" t="str">
        <f>IF('2965D'!J13="","",'2965D'!J13)</f>
        <v/>
      </c>
      <c r="L12" s="193" t="str">
        <f>IF('2965D'!K13="","",'2965D'!K13)</f>
        <v/>
      </c>
      <c r="M12" s="194" t="str">
        <f>IF(FORMATTED!K5=TRUE,"ü","")</f>
        <v/>
      </c>
      <c r="N12" s="195" t="str">
        <f>IF(FORMATTED!L5=TRUE,"ü","")</f>
        <v/>
      </c>
      <c r="O12" s="196" t="str">
        <f>IF('2965D'!N13="","",'2965D'!N13)</f>
        <v/>
      </c>
      <c r="P12" s="191" t="str">
        <f>IF('2965D'!P13="","",'2965D'!P13)</f>
        <v/>
      </c>
      <c r="Q12" s="192"/>
      <c r="R12" s="192"/>
      <c r="S12" s="192"/>
      <c r="T12" s="192"/>
      <c r="U12" s="192" t="str">
        <f>IF('2965D'!Q13="","",'2965D'!Q13)</f>
        <v/>
      </c>
      <c r="V12" s="197" t="str">
        <f>IF('2965D'!R13="","",'2965D'!R13)</f>
        <v/>
      </c>
      <c r="W12" s="198"/>
      <c r="X12" s="199" t="str">
        <f>IF(FORMATTED!H5=TRUE,"ü","")</f>
        <v/>
      </c>
      <c r="Y12" s="212" t="str">
        <f>IFERROR(VLOOKUP('2965D'!T13,Pilots[[SN Last 4]:[Pilot]],2,FALSE),"")</f>
        <v/>
      </c>
      <c r="Z12" s="200" t="str">
        <f>IF('2965D'!$G$5=B12,"Max",IF('2965D'!$G$5=B11,"Launches",""))</f>
        <v/>
      </c>
      <c r="AA12" t="s">
        <v>134</v>
      </c>
    </row>
    <row r="13" spans="2:27" ht="22.15" customHeight="1" thickTop="1" thickBot="1" x14ac:dyDescent="0.3">
      <c r="B13" s="187">
        <v>5</v>
      </c>
      <c r="C13" s="188">
        <f>'2965D'!B14</f>
        <v>0</v>
      </c>
      <c r="D13" s="188">
        <f>'2965D'!C14</f>
        <v>0</v>
      </c>
      <c r="E13" s="189">
        <f>'2965D'!D14</f>
        <v>0</v>
      </c>
      <c r="F13" s="190">
        <f>'2965D'!E14</f>
        <v>0</v>
      </c>
      <c r="G13" s="190">
        <f>'2965D'!F14</f>
        <v>0</v>
      </c>
      <c r="H13" s="191" t="str">
        <f>IF('2965D'!G14="","",'2965D'!G14)</f>
        <v/>
      </c>
      <c r="I13" s="192" t="str">
        <f>IF('2965D'!H14="","",'2965D'!H14)</f>
        <v/>
      </c>
      <c r="J13" s="193" t="str">
        <f>IF('2965D'!I14="","",'2965D'!I14)</f>
        <v/>
      </c>
      <c r="K13" s="191" t="str">
        <f>IF('2965D'!J14="","",'2965D'!J14)</f>
        <v/>
      </c>
      <c r="L13" s="193" t="str">
        <f>IF('2965D'!K14="","",'2965D'!K14)</f>
        <v/>
      </c>
      <c r="M13" s="194" t="str">
        <f>IF(FORMATTED!K6=TRUE,"ü","")</f>
        <v/>
      </c>
      <c r="N13" s="195" t="str">
        <f>IF(FORMATTED!L6=TRUE,"ü","")</f>
        <v/>
      </c>
      <c r="O13" s="196" t="str">
        <f>IF('2965D'!N14="","",'2965D'!N14)</f>
        <v/>
      </c>
      <c r="P13" s="191" t="str">
        <f>IF('2965D'!P14="","",'2965D'!P14)</f>
        <v/>
      </c>
      <c r="Q13" s="192"/>
      <c r="R13" s="192"/>
      <c r="S13" s="192"/>
      <c r="T13" s="192"/>
      <c r="U13" s="192" t="str">
        <f>IF('2965D'!Q14="","",'2965D'!Q14)</f>
        <v/>
      </c>
      <c r="V13" s="197" t="str">
        <f>IF('2965D'!R14="","",'2965D'!R14)</f>
        <v/>
      </c>
      <c r="W13" s="198"/>
      <c r="X13" s="199" t="str">
        <f>IF(FORMATTED!H6=TRUE,"ü","")</f>
        <v/>
      </c>
      <c r="Y13" s="212" t="str">
        <f>IFERROR(VLOOKUP('2965D'!T14,Pilots[[SN Last 4]:[Pilot]],2,FALSE),"")</f>
        <v/>
      </c>
      <c r="Z13" s="200" t="str">
        <f>IF('2965D'!$G$5=B13,"Max",IF('2965D'!$G$5=B12,"Launches",""))</f>
        <v/>
      </c>
      <c r="AA13" t="s">
        <v>135</v>
      </c>
    </row>
    <row r="14" spans="2:27" ht="22.15" customHeight="1" thickTop="1" thickBot="1" x14ac:dyDescent="0.3">
      <c r="B14" s="187">
        <v>6</v>
      </c>
      <c r="C14" s="188">
        <f>'2965D'!B15</f>
        <v>0</v>
      </c>
      <c r="D14" s="188">
        <f>'2965D'!C15</f>
        <v>0</v>
      </c>
      <c r="E14" s="189">
        <f>'2965D'!D15</f>
        <v>0</v>
      </c>
      <c r="F14" s="190">
        <f>'2965D'!E15</f>
        <v>0</v>
      </c>
      <c r="G14" s="190">
        <f>'2965D'!F15</f>
        <v>0</v>
      </c>
      <c r="H14" s="191" t="str">
        <f>IF('2965D'!G15="","",'2965D'!G15)</f>
        <v/>
      </c>
      <c r="I14" s="192" t="str">
        <f>IF('2965D'!H15="","",'2965D'!H15)</f>
        <v/>
      </c>
      <c r="J14" s="193" t="str">
        <f>IF('2965D'!I15="","",'2965D'!I15)</f>
        <v/>
      </c>
      <c r="K14" s="191" t="str">
        <f>IF('2965D'!J15="","",'2965D'!J15)</f>
        <v/>
      </c>
      <c r="L14" s="193" t="str">
        <f>IF('2965D'!K15="","",'2965D'!K15)</f>
        <v/>
      </c>
      <c r="M14" s="194" t="str">
        <f>IF(FORMATTED!K7=TRUE,"ü","")</f>
        <v/>
      </c>
      <c r="N14" s="195" t="str">
        <f>IF(FORMATTED!L7=TRUE,"ü","")</f>
        <v/>
      </c>
      <c r="O14" s="196" t="str">
        <f>IF('2965D'!N15="","",'2965D'!N15)</f>
        <v/>
      </c>
      <c r="P14" s="191" t="str">
        <f>IF('2965D'!P15="","",'2965D'!P15)</f>
        <v/>
      </c>
      <c r="Q14" s="192"/>
      <c r="R14" s="192"/>
      <c r="S14" s="192"/>
      <c r="T14" s="192"/>
      <c r="U14" s="192" t="str">
        <f>IF('2965D'!Q15="","",'2965D'!Q15)</f>
        <v/>
      </c>
      <c r="V14" s="197" t="str">
        <f>IF('2965D'!R15="","",'2965D'!R15)</f>
        <v/>
      </c>
      <c r="W14" s="198"/>
      <c r="X14" s="199" t="str">
        <f>IF(FORMATTED!H7=TRUE,"ü","")</f>
        <v/>
      </c>
      <c r="Y14" s="212" t="str">
        <f>IFERROR(VLOOKUP('2965D'!T15,Pilots[[SN Last 4]:[Pilot]],2,FALSE),"")</f>
        <v/>
      </c>
      <c r="Z14" s="200" t="str">
        <f>IF('2965D'!$G$5=B14,"Max",IF('2965D'!$G$5=B13,"Launches",""))</f>
        <v/>
      </c>
      <c r="AA14" t="s">
        <v>140</v>
      </c>
    </row>
    <row r="15" spans="2:27" ht="22.15" customHeight="1" thickTop="1" thickBot="1" x14ac:dyDescent="0.3">
      <c r="B15" s="187">
        <v>7</v>
      </c>
      <c r="C15" s="188">
        <f>'2965D'!B16</f>
        <v>0</v>
      </c>
      <c r="D15" s="188">
        <f>'2965D'!C16</f>
        <v>0</v>
      </c>
      <c r="E15" s="189">
        <f>'2965D'!D16</f>
        <v>0</v>
      </c>
      <c r="F15" s="190">
        <f>'2965D'!E16</f>
        <v>0</v>
      </c>
      <c r="G15" s="190">
        <f>'2965D'!F16</f>
        <v>0</v>
      </c>
      <c r="H15" s="191" t="str">
        <f>IF('2965D'!G16="","",'2965D'!G16)</f>
        <v/>
      </c>
      <c r="I15" s="192" t="str">
        <f>IF('2965D'!H16="","",'2965D'!H16)</f>
        <v/>
      </c>
      <c r="J15" s="193" t="str">
        <f>IF('2965D'!I16="","",'2965D'!I16)</f>
        <v/>
      </c>
      <c r="K15" s="191" t="str">
        <f>IF('2965D'!J16="","",'2965D'!J16)</f>
        <v/>
      </c>
      <c r="L15" s="193" t="str">
        <f>IF('2965D'!K16="","",'2965D'!K16)</f>
        <v/>
      </c>
      <c r="M15" s="194" t="str">
        <f>IF(FORMATTED!K8=TRUE,"ü","")</f>
        <v/>
      </c>
      <c r="N15" s="195" t="str">
        <f>IF(FORMATTED!L8=TRUE,"ü","")</f>
        <v/>
      </c>
      <c r="O15" s="196" t="str">
        <f>IF('2965D'!N16="","",'2965D'!N16)</f>
        <v/>
      </c>
      <c r="P15" s="191" t="str">
        <f>IF('2965D'!P16="","",'2965D'!P16)</f>
        <v/>
      </c>
      <c r="Q15" s="192"/>
      <c r="R15" s="192"/>
      <c r="S15" s="192"/>
      <c r="T15" s="192"/>
      <c r="U15" s="192" t="str">
        <f>IF('2965D'!Q16="","",'2965D'!Q16)</f>
        <v/>
      </c>
      <c r="V15" s="197" t="str">
        <f>IF('2965D'!R16="","",'2965D'!R16)</f>
        <v/>
      </c>
      <c r="W15" s="198"/>
      <c r="X15" s="199" t="str">
        <f>IF(FORMATTED!H8=TRUE,"ü","")</f>
        <v/>
      </c>
      <c r="Y15" s="212" t="str">
        <f>IFERROR(VLOOKUP('2965D'!T16,Pilots[[SN Last 4]:[Pilot]],2,FALSE),"")</f>
        <v/>
      </c>
      <c r="Z15" s="200" t="str">
        <f>IF('2965D'!$G$5=B15,"Max",IF('2965D'!$G$5=B14,"Launches",""))</f>
        <v/>
      </c>
    </row>
    <row r="16" spans="2:27" ht="22.15" customHeight="1" thickTop="1" thickBot="1" x14ac:dyDescent="0.3">
      <c r="B16" s="187">
        <v>8</v>
      </c>
      <c r="C16" s="188">
        <f>'2965D'!B17</f>
        <v>0</v>
      </c>
      <c r="D16" s="188">
        <f>'2965D'!C17</f>
        <v>0</v>
      </c>
      <c r="E16" s="189">
        <f>'2965D'!D17</f>
        <v>0</v>
      </c>
      <c r="F16" s="190">
        <f>'2965D'!E17</f>
        <v>0</v>
      </c>
      <c r="G16" s="190">
        <f>'2965D'!F17</f>
        <v>0</v>
      </c>
      <c r="H16" s="191" t="str">
        <f>IF('2965D'!G17="","",'2965D'!G17)</f>
        <v/>
      </c>
      <c r="I16" s="192" t="str">
        <f>IF('2965D'!H17="","",'2965D'!H17)</f>
        <v/>
      </c>
      <c r="J16" s="193" t="str">
        <f>IF('2965D'!I17="","",'2965D'!I17)</f>
        <v/>
      </c>
      <c r="K16" s="191" t="str">
        <f>IF('2965D'!J17="","",'2965D'!J17)</f>
        <v/>
      </c>
      <c r="L16" s="193" t="str">
        <f>IF('2965D'!K17="","",'2965D'!K17)</f>
        <v/>
      </c>
      <c r="M16" s="194" t="str">
        <f>IF(FORMATTED!K9=TRUE,"ü","")</f>
        <v/>
      </c>
      <c r="N16" s="195" t="str">
        <f>IF(FORMATTED!L9=TRUE,"ü","")</f>
        <v/>
      </c>
      <c r="O16" s="196" t="str">
        <f>IF('2965D'!N17="","",'2965D'!N17)</f>
        <v/>
      </c>
      <c r="P16" s="191" t="str">
        <f>IF('2965D'!P17="","",'2965D'!P17)</f>
        <v/>
      </c>
      <c r="Q16" s="192"/>
      <c r="R16" s="192"/>
      <c r="S16" s="192"/>
      <c r="T16" s="192"/>
      <c r="U16" s="192" t="str">
        <f>IF('2965D'!Q17="","",'2965D'!Q17)</f>
        <v/>
      </c>
      <c r="V16" s="197" t="str">
        <f>IF('2965D'!R17="","",'2965D'!R17)</f>
        <v/>
      </c>
      <c r="W16" s="198"/>
      <c r="X16" s="199" t="str">
        <f>IF(FORMATTED!H9=TRUE,"ü","")</f>
        <v/>
      </c>
      <c r="Y16" s="212" t="str">
        <f>IFERROR(VLOOKUP('2965D'!T17,Pilots[[SN Last 4]:[Pilot]],2,FALSE),"")</f>
        <v/>
      </c>
      <c r="Z16" s="200" t="str">
        <f>IF('2965D'!$G$5=B16,"Max",IF('2965D'!$G$5=B15,"Launches",""))</f>
        <v/>
      </c>
    </row>
    <row r="17" spans="2:26" ht="22.15" customHeight="1" thickTop="1" thickBot="1" x14ac:dyDescent="0.3">
      <c r="B17" s="187">
        <v>9</v>
      </c>
      <c r="C17" s="188">
        <f>'2965D'!B18</f>
        <v>0</v>
      </c>
      <c r="D17" s="188">
        <f>'2965D'!C18</f>
        <v>0</v>
      </c>
      <c r="E17" s="189">
        <f>'2965D'!D18</f>
        <v>0</v>
      </c>
      <c r="F17" s="190">
        <f>'2965D'!E18</f>
        <v>0</v>
      </c>
      <c r="G17" s="190">
        <f>'2965D'!F18</f>
        <v>0</v>
      </c>
      <c r="H17" s="191" t="str">
        <f>IF('2965D'!G18="","",'2965D'!G18)</f>
        <v/>
      </c>
      <c r="I17" s="192" t="str">
        <f>IF('2965D'!H18="","",'2965D'!H18)</f>
        <v/>
      </c>
      <c r="J17" s="193" t="str">
        <f>IF('2965D'!I18="","",'2965D'!I18)</f>
        <v/>
      </c>
      <c r="K17" s="191" t="str">
        <f>IF('2965D'!J18="","",'2965D'!J18)</f>
        <v/>
      </c>
      <c r="L17" s="193" t="str">
        <f>IF('2965D'!K18="","",'2965D'!K18)</f>
        <v/>
      </c>
      <c r="M17" s="194" t="str">
        <f>IF(FORMATTED!K10=TRUE,"ü","")</f>
        <v/>
      </c>
      <c r="N17" s="195" t="str">
        <f>IF(FORMATTED!L10=TRUE,"ü","")</f>
        <v/>
      </c>
      <c r="O17" s="196" t="str">
        <f>IF('2965D'!N18="","",'2965D'!N18)</f>
        <v/>
      </c>
      <c r="P17" s="191" t="str">
        <f>IF('2965D'!P18="","",'2965D'!P18)</f>
        <v/>
      </c>
      <c r="Q17" s="192"/>
      <c r="R17" s="192"/>
      <c r="S17" s="192"/>
      <c r="T17" s="192"/>
      <c r="U17" s="192" t="str">
        <f>IF('2965D'!Q18="","",'2965D'!Q18)</f>
        <v/>
      </c>
      <c r="V17" s="197" t="str">
        <f>IF('2965D'!R18="","",'2965D'!R18)</f>
        <v/>
      </c>
      <c r="W17" s="198"/>
      <c r="X17" s="199" t="str">
        <f>IF(FORMATTED!H10=TRUE,"ü","")</f>
        <v/>
      </c>
      <c r="Y17" s="212" t="str">
        <f>IFERROR(VLOOKUP('2965D'!T18,Pilots[[SN Last 4]:[Pilot]],2,FALSE),"")</f>
        <v/>
      </c>
      <c r="Z17" s="200" t="str">
        <f>IF('2965D'!$G$5=B17,"Max",IF('2965D'!$G$5=B16,"Launches",""))</f>
        <v/>
      </c>
    </row>
    <row r="18" spans="2:26" ht="22.15" customHeight="1" thickTop="1" thickBot="1" x14ac:dyDescent="0.3">
      <c r="B18" s="187">
        <v>10</v>
      </c>
      <c r="C18" s="188">
        <f>'2965D'!B19</f>
        <v>0</v>
      </c>
      <c r="D18" s="188">
        <f>'2965D'!C19</f>
        <v>0</v>
      </c>
      <c r="E18" s="189">
        <f>'2965D'!D19</f>
        <v>0</v>
      </c>
      <c r="F18" s="190">
        <f>'2965D'!E19</f>
        <v>0</v>
      </c>
      <c r="G18" s="190">
        <f>'2965D'!F19</f>
        <v>0</v>
      </c>
      <c r="H18" s="191" t="str">
        <f>IF('2965D'!G19="","",'2965D'!G19)</f>
        <v/>
      </c>
      <c r="I18" s="192" t="str">
        <f>IF('2965D'!H19="","",'2965D'!H19)</f>
        <v/>
      </c>
      <c r="J18" s="193" t="str">
        <f>IF('2965D'!I19="","",'2965D'!I19)</f>
        <v/>
      </c>
      <c r="K18" s="191" t="str">
        <f>IF('2965D'!J19="","",'2965D'!J19)</f>
        <v/>
      </c>
      <c r="L18" s="193" t="str">
        <f>IF('2965D'!K19="","",'2965D'!K19)</f>
        <v/>
      </c>
      <c r="M18" s="194" t="str">
        <f>IF(FORMATTED!K11=TRUE,"ü","")</f>
        <v/>
      </c>
      <c r="N18" s="195" t="str">
        <f>IF(FORMATTED!L11=TRUE,"ü","")</f>
        <v/>
      </c>
      <c r="O18" s="196" t="str">
        <f>IF('2965D'!N19="","",'2965D'!N19)</f>
        <v/>
      </c>
      <c r="P18" s="191" t="str">
        <f>IF('2965D'!P19="","",'2965D'!P19)</f>
        <v/>
      </c>
      <c r="Q18" s="192"/>
      <c r="R18" s="192"/>
      <c r="S18" s="192"/>
      <c r="T18" s="192"/>
      <c r="U18" s="192" t="str">
        <f>IF('2965D'!Q19="","",'2965D'!Q19)</f>
        <v/>
      </c>
      <c r="V18" s="197" t="str">
        <f>IF('2965D'!R19="","",'2965D'!R19)</f>
        <v/>
      </c>
      <c r="W18" s="198"/>
      <c r="X18" s="199" t="str">
        <f>IF(FORMATTED!H11=TRUE,"ü","")</f>
        <v/>
      </c>
      <c r="Y18" s="212" t="str">
        <f>IFERROR(VLOOKUP('2965D'!T19,Pilots[[SN Last 4]:[Pilot]],2,FALSE),"")</f>
        <v/>
      </c>
      <c r="Z18" s="200" t="str">
        <f>IF('2965D'!$G$5=B18,"Max",IF('2965D'!$G$5=B17,"Launches",""))</f>
        <v/>
      </c>
    </row>
    <row r="19" spans="2:26" ht="22.15" customHeight="1" thickTop="1" thickBot="1" x14ac:dyDescent="0.3">
      <c r="B19" s="187">
        <v>11</v>
      </c>
      <c r="C19" s="188">
        <f>'2965D'!B20</f>
        <v>0</v>
      </c>
      <c r="D19" s="188">
        <f>'2965D'!C20</f>
        <v>0</v>
      </c>
      <c r="E19" s="189">
        <f>'2965D'!D20</f>
        <v>0</v>
      </c>
      <c r="F19" s="190">
        <f>'2965D'!E20</f>
        <v>0</v>
      </c>
      <c r="G19" s="190">
        <f>'2965D'!F20</f>
        <v>0</v>
      </c>
      <c r="H19" s="191" t="str">
        <f>IF('2965D'!G20="","",'2965D'!G20)</f>
        <v/>
      </c>
      <c r="I19" s="192" t="str">
        <f>IF('2965D'!H20="","",'2965D'!H20)</f>
        <v/>
      </c>
      <c r="J19" s="193" t="str">
        <f>IF('2965D'!I20="","",'2965D'!I20)</f>
        <v/>
      </c>
      <c r="K19" s="191" t="str">
        <f>IF('2965D'!J20="","",'2965D'!J20)</f>
        <v/>
      </c>
      <c r="L19" s="193" t="str">
        <f>IF('2965D'!K20="","",'2965D'!K20)</f>
        <v/>
      </c>
      <c r="M19" s="194" t="str">
        <f>IF(FORMATTED!K12=TRUE,"ü","")</f>
        <v/>
      </c>
      <c r="N19" s="195" t="str">
        <f>IF(FORMATTED!L12=TRUE,"ü","")</f>
        <v/>
      </c>
      <c r="O19" s="196" t="str">
        <f>IF('2965D'!N20="","",'2965D'!N20)</f>
        <v/>
      </c>
      <c r="P19" s="191" t="str">
        <f>IF('2965D'!P20="","",'2965D'!P20)</f>
        <v/>
      </c>
      <c r="Q19" s="192"/>
      <c r="R19" s="192"/>
      <c r="S19" s="192"/>
      <c r="T19" s="192"/>
      <c r="U19" s="192" t="str">
        <f>IF('2965D'!Q20="","",'2965D'!Q20)</f>
        <v/>
      </c>
      <c r="V19" s="197" t="str">
        <f>IF('2965D'!R20="","",'2965D'!R20)</f>
        <v/>
      </c>
      <c r="W19" s="198"/>
      <c r="X19" s="199" t="str">
        <f>IF(FORMATTED!H12=TRUE,"ü","")</f>
        <v/>
      </c>
      <c r="Y19" s="212" t="str">
        <f>IFERROR(VLOOKUP('2965D'!T20,Pilots[[SN Last 4]:[Pilot]],2,FALSE),"")</f>
        <v/>
      </c>
      <c r="Z19" s="200" t="str">
        <f>IF('2965D'!$G$5=B19,"Max",IF('2965D'!$G$5=B18,"Launches",""))</f>
        <v/>
      </c>
    </row>
    <row r="20" spans="2:26" ht="22.15" customHeight="1" thickTop="1" thickBot="1" x14ac:dyDescent="0.3">
      <c r="B20" s="187">
        <v>12</v>
      </c>
      <c r="C20" s="188">
        <f>'2965D'!B21</f>
        <v>0</v>
      </c>
      <c r="D20" s="188">
        <f>'2965D'!C21</f>
        <v>0</v>
      </c>
      <c r="E20" s="189">
        <f>'2965D'!D21</f>
        <v>0</v>
      </c>
      <c r="F20" s="190">
        <f>'2965D'!E21</f>
        <v>0</v>
      </c>
      <c r="G20" s="190">
        <f>'2965D'!F21</f>
        <v>0</v>
      </c>
      <c r="H20" s="191" t="str">
        <f>IF('2965D'!G21="","",'2965D'!G21)</f>
        <v/>
      </c>
      <c r="I20" s="192" t="str">
        <f>IF('2965D'!H21="","",'2965D'!H21)</f>
        <v/>
      </c>
      <c r="J20" s="193" t="str">
        <f>IF('2965D'!I21="","",'2965D'!I21)</f>
        <v/>
      </c>
      <c r="K20" s="191" t="str">
        <f>IF('2965D'!J21="","",'2965D'!J21)</f>
        <v/>
      </c>
      <c r="L20" s="193" t="str">
        <f>IF('2965D'!K21="","",'2965D'!K21)</f>
        <v/>
      </c>
      <c r="M20" s="194" t="str">
        <f>IF(FORMATTED!K13=TRUE,"ü","")</f>
        <v/>
      </c>
      <c r="N20" s="195" t="str">
        <f>IF(FORMATTED!L13=TRUE,"ü","")</f>
        <v/>
      </c>
      <c r="O20" s="196" t="str">
        <f>IF('2965D'!N21="","",'2965D'!N21)</f>
        <v/>
      </c>
      <c r="P20" s="191" t="str">
        <f>IF('2965D'!P21="","",'2965D'!P21)</f>
        <v/>
      </c>
      <c r="Q20" s="192"/>
      <c r="R20" s="192"/>
      <c r="S20" s="192"/>
      <c r="T20" s="192"/>
      <c r="U20" s="192" t="str">
        <f>IF('2965D'!Q21="","",'2965D'!Q21)</f>
        <v/>
      </c>
      <c r="V20" s="197" t="str">
        <f>IF('2965D'!R21="","",'2965D'!R21)</f>
        <v/>
      </c>
      <c r="W20" s="198"/>
      <c r="X20" s="199" t="str">
        <f>IF(FORMATTED!H13=TRUE,"ü","")</f>
        <v/>
      </c>
      <c r="Y20" s="212" t="str">
        <f>IFERROR(VLOOKUP('2965D'!T21,Pilots[[SN Last 4]:[Pilot]],2,FALSE),"")</f>
        <v/>
      </c>
      <c r="Z20" s="200" t="str">
        <f>IF('2965D'!$G$5=B20,"Max",IF('2965D'!$G$5=B19,"Launches",""))</f>
        <v/>
      </c>
    </row>
    <row r="21" spans="2:26" ht="22.15" customHeight="1" thickTop="1" thickBot="1" x14ac:dyDescent="0.3">
      <c r="B21" s="187">
        <v>13</v>
      </c>
      <c r="C21" s="188">
        <f>'2965D'!B22</f>
        <v>0</v>
      </c>
      <c r="D21" s="188">
        <f>'2965D'!C22</f>
        <v>0</v>
      </c>
      <c r="E21" s="189">
        <f>'2965D'!D22</f>
        <v>0</v>
      </c>
      <c r="F21" s="190">
        <f>'2965D'!E22</f>
        <v>0</v>
      </c>
      <c r="G21" s="190">
        <f>'2965D'!F22</f>
        <v>0</v>
      </c>
      <c r="H21" s="191" t="str">
        <f>IF('2965D'!G22="","",'2965D'!G22)</f>
        <v/>
      </c>
      <c r="I21" s="192" t="str">
        <f>IF('2965D'!H22="","",'2965D'!H22)</f>
        <v/>
      </c>
      <c r="J21" s="193" t="str">
        <f>IF('2965D'!I22="","",'2965D'!I22)</f>
        <v/>
      </c>
      <c r="K21" s="191" t="str">
        <f>IF('2965D'!J22="","",'2965D'!J22)</f>
        <v/>
      </c>
      <c r="L21" s="193" t="str">
        <f>IF('2965D'!K22="","",'2965D'!K22)</f>
        <v/>
      </c>
      <c r="M21" s="194" t="str">
        <f>IF(FORMATTED!K14=TRUE,"ü","")</f>
        <v/>
      </c>
      <c r="N21" s="195" t="str">
        <f>IF(FORMATTED!L14=TRUE,"ü","")</f>
        <v/>
      </c>
      <c r="O21" s="196" t="str">
        <f>IF('2965D'!N22="","",'2965D'!N22)</f>
        <v/>
      </c>
      <c r="P21" s="191" t="str">
        <f>IF('2965D'!P22="","",'2965D'!P22)</f>
        <v/>
      </c>
      <c r="Q21" s="192"/>
      <c r="R21" s="192"/>
      <c r="S21" s="192"/>
      <c r="T21" s="192"/>
      <c r="U21" s="192" t="str">
        <f>IF('2965D'!Q22="","",'2965D'!Q22)</f>
        <v/>
      </c>
      <c r="V21" s="197" t="str">
        <f>IF('2965D'!R22="","",'2965D'!R22)</f>
        <v/>
      </c>
      <c r="W21" s="198"/>
      <c r="X21" s="199" t="str">
        <f>IF(FORMATTED!H14=TRUE,"ü","")</f>
        <v/>
      </c>
      <c r="Y21" s="212" t="str">
        <f>IFERROR(VLOOKUP('2965D'!T22,Pilots[[SN Last 4]:[Pilot]],2,FALSE),"")</f>
        <v/>
      </c>
      <c r="Z21" s="200" t="str">
        <f>IF('2965D'!$G$5=B21,"Max",IF('2965D'!$G$5=B20,"Launches",""))</f>
        <v/>
      </c>
    </row>
    <row r="22" spans="2:26" ht="22.15" customHeight="1" thickTop="1" thickBot="1" x14ac:dyDescent="0.3">
      <c r="B22" s="187">
        <v>14</v>
      </c>
      <c r="C22" s="188">
        <f>'2965D'!B23</f>
        <v>0</v>
      </c>
      <c r="D22" s="188">
        <f>'2965D'!C23</f>
        <v>0</v>
      </c>
      <c r="E22" s="189">
        <f>'2965D'!D23</f>
        <v>0</v>
      </c>
      <c r="F22" s="190">
        <f>'2965D'!E23</f>
        <v>0</v>
      </c>
      <c r="G22" s="190">
        <f>'2965D'!F23</f>
        <v>0</v>
      </c>
      <c r="H22" s="191" t="str">
        <f>IF('2965D'!G23="","",'2965D'!G23)</f>
        <v/>
      </c>
      <c r="I22" s="192" t="str">
        <f>IF('2965D'!H23="","",'2965D'!H23)</f>
        <v/>
      </c>
      <c r="J22" s="193" t="str">
        <f>IF('2965D'!I23="","",'2965D'!I23)</f>
        <v/>
      </c>
      <c r="K22" s="191" t="str">
        <f>IF('2965D'!J23="","",'2965D'!J23)</f>
        <v/>
      </c>
      <c r="L22" s="193" t="str">
        <f>IF('2965D'!K23="","",'2965D'!K23)</f>
        <v/>
      </c>
      <c r="M22" s="194" t="str">
        <f>IF(FORMATTED!K15=TRUE,"ü","")</f>
        <v/>
      </c>
      <c r="N22" s="195" t="str">
        <f>IF(FORMATTED!L15=TRUE,"ü","")</f>
        <v/>
      </c>
      <c r="O22" s="196" t="str">
        <f>IF('2965D'!N23="","",'2965D'!N23)</f>
        <v/>
      </c>
      <c r="P22" s="191" t="str">
        <f>IF('2965D'!P23="","",'2965D'!P23)</f>
        <v/>
      </c>
      <c r="Q22" s="192"/>
      <c r="R22" s="192"/>
      <c r="S22" s="192"/>
      <c r="T22" s="192"/>
      <c r="U22" s="192" t="str">
        <f>IF('2965D'!Q23="","",'2965D'!Q23)</f>
        <v/>
      </c>
      <c r="V22" s="197" t="str">
        <f>IF('2965D'!R23="","",'2965D'!R23)</f>
        <v/>
      </c>
      <c r="W22" s="198"/>
      <c r="X22" s="199" t="str">
        <f>IF(FORMATTED!H15=TRUE,"ü","")</f>
        <v/>
      </c>
      <c r="Y22" s="212" t="str">
        <f>IFERROR(VLOOKUP('2965D'!T23,Pilots[[SN Last 4]:[Pilot]],2,FALSE),"")</f>
        <v/>
      </c>
      <c r="Z22" s="200" t="str">
        <f>IF('2965D'!$G$5=B22,"Max",IF('2965D'!$G$5=B21,"Launches",""))</f>
        <v/>
      </c>
    </row>
    <row r="23" spans="2:26" ht="22.15" customHeight="1" thickTop="1" thickBot="1" x14ac:dyDescent="0.3">
      <c r="B23" s="187">
        <v>15</v>
      </c>
      <c r="C23" s="188">
        <f>'2965D'!B24</f>
        <v>0</v>
      </c>
      <c r="D23" s="188">
        <f>'2965D'!C24</f>
        <v>0</v>
      </c>
      <c r="E23" s="189">
        <f>'2965D'!D24</f>
        <v>0</v>
      </c>
      <c r="F23" s="190">
        <f>'2965D'!E24</f>
        <v>0</v>
      </c>
      <c r="G23" s="190">
        <f>'2965D'!F24</f>
        <v>0</v>
      </c>
      <c r="H23" s="191" t="str">
        <f>IF('2965D'!G24="","",'2965D'!G24)</f>
        <v/>
      </c>
      <c r="I23" s="192" t="str">
        <f>IF('2965D'!H24="","",'2965D'!H24)</f>
        <v/>
      </c>
      <c r="J23" s="193" t="str">
        <f>IF('2965D'!I24="","",'2965D'!I24)</f>
        <v/>
      </c>
      <c r="K23" s="191" t="str">
        <f>IF('2965D'!J24="","",'2965D'!J24)</f>
        <v/>
      </c>
      <c r="L23" s="193" t="str">
        <f>IF('2965D'!K24="","",'2965D'!K24)</f>
        <v/>
      </c>
      <c r="M23" s="194" t="str">
        <f>IF(FORMATTED!K16=TRUE,"ü","")</f>
        <v/>
      </c>
      <c r="N23" s="195" t="str">
        <f>IF(FORMATTED!L16=TRUE,"ü","")</f>
        <v/>
      </c>
      <c r="O23" s="196" t="str">
        <f>IF('2965D'!N24="","",'2965D'!N24)</f>
        <v/>
      </c>
      <c r="P23" s="191" t="str">
        <f>IF('2965D'!P24="","",'2965D'!P24)</f>
        <v/>
      </c>
      <c r="Q23" s="192"/>
      <c r="R23" s="192"/>
      <c r="S23" s="192"/>
      <c r="T23" s="192"/>
      <c r="U23" s="192" t="str">
        <f>IF('2965D'!Q24="","",'2965D'!Q24)</f>
        <v/>
      </c>
      <c r="V23" s="197" t="str">
        <f>IF('2965D'!R24="","",'2965D'!R24)</f>
        <v/>
      </c>
      <c r="W23" s="198"/>
      <c r="X23" s="199" t="str">
        <f>IF(FORMATTED!H16=TRUE,"ü","")</f>
        <v/>
      </c>
      <c r="Y23" s="212" t="str">
        <f>IFERROR(VLOOKUP('2965D'!T24,Pilots[[SN Last 4]:[Pilot]],2,FALSE),"")</f>
        <v/>
      </c>
      <c r="Z23" s="200" t="str">
        <f>IF('2965D'!$G$5=B23,"Max",IF('2965D'!$G$5=B22,"Launches",""))</f>
        <v/>
      </c>
    </row>
    <row r="24" spans="2:26" ht="22.15" customHeight="1" thickTop="1" thickBot="1" x14ac:dyDescent="0.3">
      <c r="B24" s="187">
        <v>16</v>
      </c>
      <c r="C24" s="188">
        <f>'2965D'!B25</f>
        <v>0</v>
      </c>
      <c r="D24" s="188">
        <f>'2965D'!C25</f>
        <v>0</v>
      </c>
      <c r="E24" s="189">
        <f>'2965D'!D25</f>
        <v>0</v>
      </c>
      <c r="F24" s="190">
        <f>'2965D'!E25</f>
        <v>0</v>
      </c>
      <c r="G24" s="190">
        <f>'2965D'!F25</f>
        <v>0</v>
      </c>
      <c r="H24" s="191" t="str">
        <f>IF('2965D'!G25="","",'2965D'!G25)</f>
        <v/>
      </c>
      <c r="I24" s="192" t="str">
        <f>IF('2965D'!H25="","",'2965D'!H25)</f>
        <v/>
      </c>
      <c r="J24" s="193" t="str">
        <f>IF('2965D'!I25="","",'2965D'!I25)</f>
        <v/>
      </c>
      <c r="K24" s="191" t="str">
        <f>IF('2965D'!J25="","",'2965D'!J25)</f>
        <v/>
      </c>
      <c r="L24" s="193" t="str">
        <f>IF('2965D'!K25="","",'2965D'!K25)</f>
        <v/>
      </c>
      <c r="M24" s="194" t="str">
        <f>IF(FORMATTED!K17=TRUE,"ü","")</f>
        <v/>
      </c>
      <c r="N24" s="195" t="str">
        <f>IF(FORMATTED!L17=TRUE,"ü","")</f>
        <v/>
      </c>
      <c r="O24" s="196" t="str">
        <f>IF('2965D'!N25="","",'2965D'!N25)</f>
        <v/>
      </c>
      <c r="P24" s="191" t="str">
        <f>IF('2965D'!P25="","",'2965D'!P25)</f>
        <v/>
      </c>
      <c r="Q24" s="192"/>
      <c r="R24" s="192"/>
      <c r="S24" s="192"/>
      <c r="T24" s="192"/>
      <c r="U24" s="192" t="str">
        <f>IF('2965D'!Q25="","",'2965D'!Q25)</f>
        <v/>
      </c>
      <c r="V24" s="197" t="str">
        <f>IF('2965D'!R25="","",'2965D'!R25)</f>
        <v/>
      </c>
      <c r="W24" s="198"/>
      <c r="X24" s="199" t="str">
        <f>IF(FORMATTED!H17=TRUE,"ü","")</f>
        <v/>
      </c>
      <c r="Y24" s="212" t="str">
        <f>IFERROR(VLOOKUP('2965D'!T25,Pilots[[SN Last 4]:[Pilot]],2,FALSE),"")</f>
        <v/>
      </c>
      <c r="Z24" s="200" t="str">
        <f>IF('2965D'!$G$5=B24,"Max",IF('2965D'!$G$5=B23,"Launches",""))</f>
        <v/>
      </c>
    </row>
    <row r="25" spans="2:26" ht="22.15" customHeight="1" thickTop="1" thickBot="1" x14ac:dyDescent="0.3">
      <c r="B25" s="187">
        <v>17</v>
      </c>
      <c r="C25" s="188">
        <f>'2965D'!B26</f>
        <v>0</v>
      </c>
      <c r="D25" s="188">
        <f>'2965D'!C26</f>
        <v>0</v>
      </c>
      <c r="E25" s="189">
        <f>'2965D'!D26</f>
        <v>0</v>
      </c>
      <c r="F25" s="190">
        <f>'2965D'!E26</f>
        <v>0</v>
      </c>
      <c r="G25" s="190">
        <f>'2965D'!F26</f>
        <v>0</v>
      </c>
      <c r="H25" s="191" t="str">
        <f>IF('2965D'!G26="","",'2965D'!G26)</f>
        <v/>
      </c>
      <c r="I25" s="192" t="str">
        <f>IF('2965D'!H26="","",'2965D'!H26)</f>
        <v/>
      </c>
      <c r="J25" s="193" t="str">
        <f>IF('2965D'!I26="","",'2965D'!I26)</f>
        <v/>
      </c>
      <c r="K25" s="191" t="str">
        <f>IF('2965D'!J26="","",'2965D'!J26)</f>
        <v/>
      </c>
      <c r="L25" s="193" t="str">
        <f>IF('2965D'!K26="","",'2965D'!K26)</f>
        <v/>
      </c>
      <c r="M25" s="194" t="str">
        <f>IF(FORMATTED!K18=TRUE,"ü","")</f>
        <v/>
      </c>
      <c r="N25" s="195" t="str">
        <f>IF(FORMATTED!L18=TRUE,"ü","")</f>
        <v/>
      </c>
      <c r="O25" s="196" t="str">
        <f>IF('2965D'!N26="","",'2965D'!N26)</f>
        <v/>
      </c>
      <c r="P25" s="191" t="str">
        <f>IF('2965D'!P26="","",'2965D'!P26)</f>
        <v/>
      </c>
      <c r="Q25" s="192"/>
      <c r="R25" s="192"/>
      <c r="S25" s="192"/>
      <c r="T25" s="192"/>
      <c r="U25" s="192" t="str">
        <f>IF('2965D'!Q26="","",'2965D'!Q26)</f>
        <v/>
      </c>
      <c r="V25" s="197" t="str">
        <f>IF('2965D'!R26="","",'2965D'!R26)</f>
        <v/>
      </c>
      <c r="W25" s="198"/>
      <c r="X25" s="199" t="str">
        <f>IF(FORMATTED!H18=TRUE,"ü","")</f>
        <v/>
      </c>
      <c r="Y25" s="212" t="str">
        <f>IFERROR(VLOOKUP('2965D'!T26,Pilots[[SN Last 4]:[Pilot]],2,FALSE),"")</f>
        <v/>
      </c>
      <c r="Z25" s="200" t="str">
        <f>IF('2965D'!$G$5=B25,"Max",IF('2965D'!$G$5=B24,"Launches",""))</f>
        <v/>
      </c>
    </row>
    <row r="26" spans="2:26" ht="22.15" customHeight="1" thickTop="1" thickBot="1" x14ac:dyDescent="0.3">
      <c r="B26" s="187">
        <v>18</v>
      </c>
      <c r="C26" s="188">
        <f>'2965D'!B27</f>
        <v>0</v>
      </c>
      <c r="D26" s="188">
        <f>'2965D'!C27</f>
        <v>0</v>
      </c>
      <c r="E26" s="189">
        <f>'2965D'!D27</f>
        <v>0</v>
      </c>
      <c r="F26" s="190">
        <f>'2965D'!E27</f>
        <v>0</v>
      </c>
      <c r="G26" s="190">
        <f>'2965D'!F27</f>
        <v>0</v>
      </c>
      <c r="H26" s="191" t="str">
        <f>IF('2965D'!G27="","",'2965D'!G27)</f>
        <v/>
      </c>
      <c r="I26" s="192" t="str">
        <f>IF('2965D'!H27="","",'2965D'!H27)</f>
        <v/>
      </c>
      <c r="J26" s="193" t="str">
        <f>IF('2965D'!I27="","",'2965D'!I27)</f>
        <v/>
      </c>
      <c r="K26" s="191" t="str">
        <f>IF('2965D'!J27="","",'2965D'!J27)</f>
        <v/>
      </c>
      <c r="L26" s="193" t="str">
        <f>IF('2965D'!K27="","",'2965D'!K27)</f>
        <v/>
      </c>
      <c r="M26" s="194" t="str">
        <f>IF(FORMATTED!K19=TRUE,"ü","")</f>
        <v/>
      </c>
      <c r="N26" s="195" t="str">
        <f>IF(FORMATTED!L19=TRUE,"ü","")</f>
        <v/>
      </c>
      <c r="O26" s="196" t="str">
        <f>IF('2965D'!N27="","",'2965D'!N27)</f>
        <v/>
      </c>
      <c r="P26" s="191" t="str">
        <f>IF('2965D'!P27="","",'2965D'!P27)</f>
        <v/>
      </c>
      <c r="Q26" s="192"/>
      <c r="R26" s="192"/>
      <c r="S26" s="192"/>
      <c r="T26" s="192"/>
      <c r="U26" s="192" t="str">
        <f>IF('2965D'!Q27="","",'2965D'!Q27)</f>
        <v/>
      </c>
      <c r="V26" s="197" t="str">
        <f>IF('2965D'!R27="","",'2965D'!R27)</f>
        <v/>
      </c>
      <c r="W26" s="198"/>
      <c r="X26" s="199" t="str">
        <f>IF(FORMATTED!H19=TRUE,"ü","")</f>
        <v/>
      </c>
      <c r="Y26" s="212" t="str">
        <f>IFERROR(VLOOKUP('2965D'!T27,Pilots[[SN Last 4]:[Pilot]],2,FALSE),"")</f>
        <v/>
      </c>
      <c r="Z26" s="200" t="str">
        <f>IF('2965D'!$G$5=B26,"Max",IF('2965D'!$G$5=B25,"Launches",""))</f>
        <v/>
      </c>
    </row>
    <row r="27" spans="2:26" ht="22.15" customHeight="1" thickTop="1" thickBot="1" x14ac:dyDescent="0.3">
      <c r="B27" s="187">
        <v>19</v>
      </c>
      <c r="C27" s="188">
        <f>'2965D'!B28</f>
        <v>0</v>
      </c>
      <c r="D27" s="188">
        <f>'2965D'!C28</f>
        <v>0</v>
      </c>
      <c r="E27" s="189">
        <f>'2965D'!D28</f>
        <v>0</v>
      </c>
      <c r="F27" s="190">
        <f>'2965D'!E28</f>
        <v>0</v>
      </c>
      <c r="G27" s="190">
        <f>'2965D'!F28</f>
        <v>0</v>
      </c>
      <c r="H27" s="191" t="str">
        <f>IF('2965D'!G28="","",'2965D'!G28)</f>
        <v/>
      </c>
      <c r="I27" s="192" t="str">
        <f>IF('2965D'!H28="","",'2965D'!H28)</f>
        <v/>
      </c>
      <c r="J27" s="193" t="str">
        <f>IF('2965D'!I28="","",'2965D'!I28)</f>
        <v/>
      </c>
      <c r="K27" s="191" t="str">
        <f>IF('2965D'!J28="","",'2965D'!J28)</f>
        <v/>
      </c>
      <c r="L27" s="193" t="str">
        <f>IF('2965D'!K28="","",'2965D'!K28)</f>
        <v/>
      </c>
      <c r="M27" s="194" t="str">
        <f>IF(FORMATTED!K20=TRUE,"ü","")</f>
        <v/>
      </c>
      <c r="N27" s="195" t="str">
        <f>IF(FORMATTED!L20=TRUE,"ü","")</f>
        <v/>
      </c>
      <c r="O27" s="196" t="str">
        <f>IF('2965D'!N28="","",'2965D'!N28)</f>
        <v/>
      </c>
      <c r="P27" s="191" t="str">
        <f>IF('2965D'!P28="","",'2965D'!P28)</f>
        <v/>
      </c>
      <c r="Q27" s="192"/>
      <c r="R27" s="192"/>
      <c r="S27" s="192"/>
      <c r="T27" s="192"/>
      <c r="U27" s="192" t="str">
        <f>IF('2965D'!Q28="","",'2965D'!Q28)</f>
        <v/>
      </c>
      <c r="V27" s="197" t="str">
        <f>IF('2965D'!R28="","",'2965D'!R28)</f>
        <v/>
      </c>
      <c r="W27" s="198"/>
      <c r="X27" s="199" t="str">
        <f>IF(FORMATTED!H20=TRUE,"ü","")</f>
        <v/>
      </c>
      <c r="Y27" s="212" t="str">
        <f>IFERROR(VLOOKUP('2965D'!T28,Pilots[[SN Last 4]:[Pilot]],2,FALSE),"")</f>
        <v/>
      </c>
      <c r="Z27" s="200" t="str">
        <f>IF('2965D'!$G$5=B27,"Max",IF('2965D'!$G$5=B26,"Launches",""))</f>
        <v/>
      </c>
    </row>
    <row r="28" spans="2:26" ht="22.15" customHeight="1" thickTop="1" thickBot="1" x14ac:dyDescent="0.3">
      <c r="B28" s="187">
        <v>20</v>
      </c>
      <c r="C28" s="188">
        <f>'2965D'!B29</f>
        <v>0</v>
      </c>
      <c r="D28" s="188">
        <f>'2965D'!C29</f>
        <v>0</v>
      </c>
      <c r="E28" s="189">
        <f>'2965D'!D29</f>
        <v>0</v>
      </c>
      <c r="F28" s="190">
        <f>'2965D'!E29</f>
        <v>0</v>
      </c>
      <c r="G28" s="190">
        <f>'2965D'!F29</f>
        <v>0</v>
      </c>
      <c r="H28" s="191" t="str">
        <f>IF('2965D'!G29="","",'2965D'!G29)</f>
        <v/>
      </c>
      <c r="I28" s="192" t="str">
        <f>IF('2965D'!H29="","",'2965D'!H29)</f>
        <v/>
      </c>
      <c r="J28" s="193" t="str">
        <f>IF('2965D'!I29="","",'2965D'!I29)</f>
        <v/>
      </c>
      <c r="K28" s="191" t="str">
        <f>IF('2965D'!J29="","",'2965D'!J29)</f>
        <v/>
      </c>
      <c r="L28" s="193" t="str">
        <f>IF('2965D'!K29="","",'2965D'!K29)</f>
        <v/>
      </c>
      <c r="M28" s="194" t="str">
        <f>IF(FORMATTED!K21=TRUE,"ü","")</f>
        <v/>
      </c>
      <c r="N28" s="195" t="str">
        <f>IF(FORMATTED!L21=TRUE,"ü","")</f>
        <v/>
      </c>
      <c r="O28" s="196" t="str">
        <f>IF('2965D'!N29="","",'2965D'!N29)</f>
        <v/>
      </c>
      <c r="P28" s="191" t="str">
        <f>IF('2965D'!P29="","",'2965D'!P29)</f>
        <v/>
      </c>
      <c r="Q28" s="192"/>
      <c r="R28" s="192"/>
      <c r="S28" s="192"/>
      <c r="T28" s="192"/>
      <c r="U28" s="192" t="str">
        <f>IF('2965D'!Q29="","",'2965D'!Q29)</f>
        <v/>
      </c>
      <c r="V28" s="197" t="str">
        <f>IF('2965D'!R29="","",'2965D'!R29)</f>
        <v/>
      </c>
      <c r="W28" s="198"/>
      <c r="X28" s="199" t="str">
        <f>IF(FORMATTED!H21=TRUE,"ü","")</f>
        <v/>
      </c>
      <c r="Y28" s="212" t="str">
        <f>IFERROR(VLOOKUP('2965D'!T29,Pilots[[SN Last 4]:[Pilot]],2,FALSE),"")</f>
        <v/>
      </c>
      <c r="Z28" s="200" t="str">
        <f>IF('2965D'!$G$5=B28,"Max",IF('2965D'!$G$5=B27,"Launches",""))</f>
        <v/>
      </c>
    </row>
    <row r="29" spans="2:26" ht="25.15" customHeight="1" thickTop="1" thickBot="1" x14ac:dyDescent="0.3">
      <c r="B29" s="300" t="s">
        <v>114</v>
      </c>
      <c r="C29" s="300"/>
      <c r="D29" s="300"/>
      <c r="E29" s="13"/>
      <c r="F29" s="301" t="s">
        <v>115</v>
      </c>
      <c r="G29" s="44" t="s">
        <v>31</v>
      </c>
      <c r="H29" s="134">
        <f>SUM(H9:H28)</f>
        <v>0</v>
      </c>
      <c r="I29" s="135">
        <f>SUM(I9:I28)</f>
        <v>0</v>
      </c>
      <c r="J29" s="135">
        <f t="shared" ref="J29:V29" si="0">SUM(J9:J28)</f>
        <v>0</v>
      </c>
      <c r="K29" s="135">
        <f t="shared" si="0"/>
        <v>0</v>
      </c>
      <c r="L29" s="136">
        <f t="shared" si="0"/>
        <v>0</v>
      </c>
      <c r="M29" s="130"/>
      <c r="N29" s="130"/>
      <c r="O29" s="138">
        <f t="shared" si="0"/>
        <v>0</v>
      </c>
      <c r="P29" s="139">
        <f t="shared" si="0"/>
        <v>0</v>
      </c>
      <c r="Q29" s="135"/>
      <c r="R29" s="135"/>
      <c r="S29" s="135"/>
      <c r="T29" s="135"/>
      <c r="U29" s="135">
        <f t="shared" si="0"/>
        <v>0</v>
      </c>
      <c r="V29" s="136">
        <f t="shared" si="0"/>
        <v>0</v>
      </c>
      <c r="W29" s="13"/>
      <c r="X29" s="13"/>
      <c r="Y29" s="13"/>
      <c r="Z29" s="200" t="str">
        <f>IF('2965D'!$G$5=B29,"Max",IF('2965D'!$G$5=B28,"Launches",""))</f>
        <v/>
      </c>
    </row>
    <row r="30" spans="2:26" ht="25.15" customHeight="1" thickBot="1" x14ac:dyDescent="0.3">
      <c r="B30" s="300"/>
      <c r="C30" s="300"/>
      <c r="D30" s="300"/>
      <c r="E30" s="13"/>
      <c r="F30" s="302"/>
      <c r="G30" s="37" t="s">
        <v>32</v>
      </c>
      <c r="H30" s="132">
        <f>COUNT(H9:H28)</f>
        <v>0</v>
      </c>
      <c r="I30" s="133">
        <f t="shared" ref="I30:V30" si="1">COUNT(I9:I28)</f>
        <v>0</v>
      </c>
      <c r="J30" s="133">
        <f t="shared" si="1"/>
        <v>0</v>
      </c>
      <c r="K30" s="133">
        <f t="shared" si="1"/>
        <v>0</v>
      </c>
      <c r="L30" s="91">
        <f t="shared" si="1"/>
        <v>0</v>
      </c>
      <c r="M30" s="50"/>
      <c r="N30" s="50"/>
      <c r="O30" s="156">
        <f t="shared" si="1"/>
        <v>0</v>
      </c>
      <c r="P30" s="151">
        <f t="shared" si="1"/>
        <v>0</v>
      </c>
      <c r="Q30" s="133"/>
      <c r="R30" s="133"/>
      <c r="S30" s="133"/>
      <c r="T30" s="133"/>
      <c r="U30" s="133">
        <f t="shared" si="1"/>
        <v>0</v>
      </c>
      <c r="V30" s="91">
        <f t="shared" si="1"/>
        <v>0</v>
      </c>
      <c r="W30" s="13"/>
      <c r="X30" s="13"/>
      <c r="Y30" s="13"/>
    </row>
    <row r="31" spans="2:26" x14ac:dyDescent="0.25">
      <c r="B31" s="300"/>
      <c r="C31" s="300"/>
      <c r="D31" s="300"/>
      <c r="E31" s="13"/>
      <c r="F31" s="13"/>
      <c r="G31" s="13"/>
      <c r="H31" s="13"/>
      <c r="I31" s="13"/>
      <c r="J31" s="13"/>
      <c r="K31" s="13"/>
      <c r="L31" s="13"/>
      <c r="M31" s="13"/>
      <c r="N31" s="13"/>
      <c r="O31" s="13"/>
      <c r="P31" s="13"/>
      <c r="Q31" s="13"/>
      <c r="R31" s="13"/>
      <c r="S31" s="13"/>
      <c r="T31" s="13"/>
      <c r="U31" s="13"/>
      <c r="V31" s="13"/>
      <c r="W31" s="13"/>
      <c r="X31" s="13"/>
      <c r="Y31" s="13"/>
    </row>
    <row r="32" spans="2:26" x14ac:dyDescent="0.25">
      <c r="B32" s="300"/>
      <c r="C32" s="300"/>
      <c r="D32" s="300"/>
      <c r="E32" s="13"/>
      <c r="F32" s="13"/>
      <c r="G32" s="13"/>
      <c r="H32" s="13"/>
      <c r="I32" s="13"/>
      <c r="J32" s="13"/>
      <c r="K32" s="13"/>
      <c r="L32" s="13"/>
      <c r="M32" s="13"/>
      <c r="N32" s="13"/>
      <c r="O32" s="13"/>
      <c r="P32" s="13"/>
      <c r="Q32" s="13"/>
      <c r="R32" s="13"/>
      <c r="S32" s="13"/>
      <c r="T32" s="13"/>
      <c r="U32" s="13"/>
      <c r="V32" s="13"/>
      <c r="W32" s="13"/>
      <c r="X32" s="13"/>
      <c r="Y32" s="13"/>
    </row>
    <row r="33" spans="2:26" x14ac:dyDescent="0.25">
      <c r="B33" s="300"/>
      <c r="C33" s="300"/>
      <c r="D33" s="300"/>
      <c r="E33" s="13"/>
      <c r="F33" s="13"/>
      <c r="G33" s="13"/>
      <c r="H33" s="13"/>
      <c r="I33" s="13"/>
      <c r="J33" s="13"/>
      <c r="K33" s="13"/>
      <c r="L33" s="13"/>
      <c r="M33" s="13"/>
      <c r="N33" s="13"/>
      <c r="O33" s="13"/>
      <c r="P33" s="13"/>
      <c r="Q33" s="13"/>
      <c r="R33" s="13"/>
      <c r="S33" s="13"/>
      <c r="T33" s="13"/>
      <c r="U33" s="13"/>
      <c r="V33" s="13"/>
      <c r="W33" s="13"/>
      <c r="X33" s="13"/>
      <c r="Y33" s="13"/>
    </row>
    <row r="34" spans="2:26" x14ac:dyDescent="0.25">
      <c r="B34" s="300"/>
      <c r="C34" s="300"/>
      <c r="D34" s="300"/>
      <c r="E34" s="13"/>
      <c r="F34" s="13"/>
      <c r="G34" s="13"/>
      <c r="H34" s="13"/>
      <c r="I34" s="13"/>
      <c r="J34" s="13"/>
      <c r="K34" s="13"/>
      <c r="L34" s="13"/>
      <c r="M34" s="13"/>
      <c r="N34" s="13"/>
      <c r="O34" s="13"/>
      <c r="P34" s="13"/>
      <c r="Q34" s="13"/>
      <c r="R34" s="13"/>
      <c r="S34" s="13"/>
      <c r="T34" s="13"/>
      <c r="U34" s="13"/>
      <c r="V34" s="13"/>
      <c r="W34" s="13"/>
      <c r="X34" s="13"/>
      <c r="Y34" s="13"/>
    </row>
    <row r="35" spans="2:26" x14ac:dyDescent="0.25">
      <c r="B35" s="300"/>
      <c r="C35" s="300"/>
      <c r="D35" s="300"/>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25">
      <c r="B36" s="16"/>
      <c r="C36" s="16"/>
      <c r="D36" s="16"/>
    </row>
    <row r="37" spans="2:26" ht="17.25" customHeight="1" x14ac:dyDescent="0.25"/>
    <row r="38" spans="2:26" ht="18" customHeight="1" x14ac:dyDescent="0.3">
      <c r="B38" s="52"/>
      <c r="C38" s="55" t="s">
        <v>119</v>
      </c>
      <c r="D38" s="299" t="s">
        <v>2</v>
      </c>
      <c r="E38" s="299"/>
      <c r="F38" s="56" t="str">
        <f>IF(ISBLANK('2965D'!$F$2), "", '2965D'!$F$2)</f>
        <v/>
      </c>
      <c r="G38" s="57"/>
      <c r="H38" s="299" t="s">
        <v>3</v>
      </c>
      <c r="I38" s="299"/>
      <c r="J38" s="299"/>
      <c r="K38" s="299"/>
      <c r="L38" s="56" t="str">
        <f>IF(ISBLANK('2965D'!$L$2), "", '2965D'!$L$2)</f>
        <v/>
      </c>
      <c r="M38" s="58"/>
      <c r="N38" s="57"/>
      <c r="O38" s="299" t="s">
        <v>4</v>
      </c>
      <c r="P38" s="299"/>
      <c r="Q38" s="298" t="str">
        <f>IF(ISBLANK('2965D'!$O$2),"",'2965D'!$O$2)</f>
        <v/>
      </c>
      <c r="R38" s="298"/>
      <c r="S38" s="298"/>
      <c r="T38" s="54"/>
      <c r="U38" s="52"/>
      <c r="V38" s="52"/>
      <c r="W38" s="52"/>
      <c r="X38" s="52"/>
      <c r="Y38" s="52"/>
    </row>
    <row r="39" spans="2:26" ht="15.75" thickBot="1" x14ac:dyDescent="0.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25">
      <c r="B40" s="325" t="s">
        <v>105</v>
      </c>
      <c r="C40" s="328" t="s">
        <v>106</v>
      </c>
      <c r="D40" s="325" t="s">
        <v>107</v>
      </c>
      <c r="E40" s="322" t="s">
        <v>21</v>
      </c>
      <c r="F40" s="328" t="s">
        <v>108</v>
      </c>
      <c r="G40" s="325" t="s">
        <v>23</v>
      </c>
      <c r="H40" s="307" t="s">
        <v>6</v>
      </c>
      <c r="I40" s="316"/>
      <c r="J40" s="309"/>
      <c r="K40" s="307" t="s">
        <v>7</v>
      </c>
      <c r="L40" s="308"/>
      <c r="M40" s="307" t="s">
        <v>8</v>
      </c>
      <c r="N40" s="309"/>
      <c r="O40" s="312" t="s">
        <v>109</v>
      </c>
      <c r="P40" s="315" t="s">
        <v>110</v>
      </c>
      <c r="Q40" s="316"/>
      <c r="R40" s="316"/>
      <c r="S40" s="316"/>
      <c r="T40" s="316"/>
      <c r="U40" s="316"/>
      <c r="V40" s="309"/>
      <c r="W40" s="312" t="s">
        <v>111</v>
      </c>
      <c r="X40" s="322" t="s">
        <v>12</v>
      </c>
      <c r="Y40" s="312" t="s">
        <v>112</v>
      </c>
    </row>
    <row r="41" spans="2:26" x14ac:dyDescent="0.25">
      <c r="B41" s="326"/>
      <c r="C41" s="329"/>
      <c r="D41" s="326"/>
      <c r="E41" s="323"/>
      <c r="F41" s="329"/>
      <c r="G41" s="326"/>
      <c r="H41" s="28" t="s">
        <v>113</v>
      </c>
      <c r="I41" s="29" t="s">
        <v>15</v>
      </c>
      <c r="J41" s="30" t="s">
        <v>16</v>
      </c>
      <c r="K41" s="28" t="s">
        <v>17</v>
      </c>
      <c r="L41" s="32" t="s">
        <v>18</v>
      </c>
      <c r="M41" s="310"/>
      <c r="N41" s="311"/>
      <c r="O41" s="313"/>
      <c r="P41" s="310"/>
      <c r="Q41" s="317"/>
      <c r="R41" s="317"/>
      <c r="S41" s="317"/>
      <c r="T41" s="317"/>
      <c r="U41" s="317"/>
      <c r="V41" s="311"/>
      <c r="W41" s="313"/>
      <c r="X41" s="323"/>
      <c r="Y41" s="313"/>
    </row>
    <row r="42" spans="2:26" ht="15.75" thickBot="1" x14ac:dyDescent="0.3">
      <c r="B42" s="327"/>
      <c r="C42" s="330"/>
      <c r="D42" s="327"/>
      <c r="E42" s="324"/>
      <c r="F42" s="330"/>
      <c r="G42" s="327"/>
      <c r="H42" s="33" t="s">
        <v>24</v>
      </c>
      <c r="I42" s="34" t="s">
        <v>25</v>
      </c>
      <c r="J42" s="35" t="s">
        <v>26</v>
      </c>
      <c r="K42" s="33" t="s">
        <v>27</v>
      </c>
      <c r="L42" s="36" t="s">
        <v>28</v>
      </c>
      <c r="M42" s="33" t="s">
        <v>29</v>
      </c>
      <c r="N42" s="35" t="s">
        <v>30</v>
      </c>
      <c r="O42" s="314"/>
      <c r="P42" s="33">
        <v>1</v>
      </c>
      <c r="Q42" s="34">
        <v>2</v>
      </c>
      <c r="R42" s="34">
        <v>3</v>
      </c>
      <c r="S42" s="34">
        <v>4</v>
      </c>
      <c r="T42" s="34">
        <v>5</v>
      </c>
      <c r="U42" s="34">
        <v>6</v>
      </c>
      <c r="V42" s="35">
        <v>7</v>
      </c>
      <c r="W42" s="314"/>
      <c r="X42" s="324"/>
      <c r="Y42" s="314"/>
    </row>
    <row r="43" spans="2:26" ht="25.15" customHeight="1" thickBot="1" x14ac:dyDescent="0.3">
      <c r="B43" s="318" t="s">
        <v>33</v>
      </c>
      <c r="C43" s="318"/>
      <c r="D43" s="318"/>
      <c r="E43" s="318"/>
      <c r="F43" s="318"/>
      <c r="G43" s="38" t="s">
        <v>31</v>
      </c>
      <c r="H43" s="153">
        <f>H29</f>
        <v>0</v>
      </c>
      <c r="I43" s="154">
        <f>I29</f>
        <v>0</v>
      </c>
      <c r="J43" s="155">
        <f t="shared" ref="J43:V43" si="2">J29</f>
        <v>0</v>
      </c>
      <c r="K43" s="51">
        <f t="shared" si="2"/>
        <v>0</v>
      </c>
      <c r="L43" s="157">
        <f t="shared" si="2"/>
        <v>0</v>
      </c>
      <c r="M43" s="125"/>
      <c r="N43" s="126"/>
      <c r="O43" s="159">
        <f t="shared" si="2"/>
        <v>0</v>
      </c>
      <c r="P43" s="153">
        <f t="shared" si="2"/>
        <v>0</v>
      </c>
      <c r="Q43" s="154"/>
      <c r="R43" s="154"/>
      <c r="S43" s="154"/>
      <c r="T43" s="154"/>
      <c r="U43" s="154">
        <f t="shared" si="2"/>
        <v>0</v>
      </c>
      <c r="V43" s="155">
        <f t="shared" si="2"/>
        <v>0</v>
      </c>
      <c r="W43" s="39"/>
      <c r="X43" s="39"/>
      <c r="Y43" s="39"/>
    </row>
    <row r="44" spans="2:26" ht="25.15" customHeight="1" thickBot="1" x14ac:dyDescent="0.3">
      <c r="B44" s="319"/>
      <c r="C44" s="319"/>
      <c r="D44" s="319"/>
      <c r="E44" s="319"/>
      <c r="F44" s="319"/>
      <c r="G44" s="40" t="s">
        <v>32</v>
      </c>
      <c r="H44" s="146">
        <f t="shared" ref="H44:L44" si="3">IF(H30="","",H30)</f>
        <v>0</v>
      </c>
      <c r="I44" s="147">
        <f t="shared" si="3"/>
        <v>0</v>
      </c>
      <c r="J44" s="148">
        <f t="shared" si="3"/>
        <v>0</v>
      </c>
      <c r="K44" s="146">
        <f t="shared" si="3"/>
        <v>0</v>
      </c>
      <c r="L44" s="158">
        <f t="shared" si="3"/>
        <v>0</v>
      </c>
      <c r="M44" s="127"/>
      <c r="N44" s="128"/>
      <c r="O44" s="128">
        <f>IF(O30="","",O30)</f>
        <v>0</v>
      </c>
      <c r="P44" s="152">
        <f t="shared" ref="P44:V44" si="4">IF(P30="","",P30)</f>
        <v>0</v>
      </c>
      <c r="Q44" s="149" t="str">
        <f t="shared" si="4"/>
        <v/>
      </c>
      <c r="R44" s="149" t="str">
        <f t="shared" si="4"/>
        <v/>
      </c>
      <c r="S44" s="149" t="str">
        <f t="shared" si="4"/>
        <v/>
      </c>
      <c r="T44" s="149" t="str">
        <f t="shared" si="4"/>
        <v/>
      </c>
      <c r="U44" s="149">
        <f t="shared" si="4"/>
        <v>0</v>
      </c>
      <c r="V44" s="150">
        <f t="shared" si="4"/>
        <v>0</v>
      </c>
      <c r="W44" s="39"/>
      <c r="X44" s="39"/>
      <c r="Y44" s="39"/>
    </row>
    <row r="45" spans="2:26" ht="25.15" customHeight="1" thickBot="1" x14ac:dyDescent="0.3">
      <c r="B45" s="186">
        <v>21</v>
      </c>
      <c r="C45" s="174">
        <f>'2965D'!B30</f>
        <v>0</v>
      </c>
      <c r="D45" s="174">
        <f>'2965D'!C30</f>
        <v>0</v>
      </c>
      <c r="E45" s="175">
        <f>'2965D'!D30</f>
        <v>0</v>
      </c>
      <c r="F45" s="176">
        <f>'2965D'!E30</f>
        <v>0</v>
      </c>
      <c r="G45" s="176">
        <f>'2965D'!F30</f>
        <v>0</v>
      </c>
      <c r="H45" s="177" t="str">
        <f>IF('2965D'!G30="","",'2965D'!G30)</f>
        <v/>
      </c>
      <c r="I45" s="178" t="str">
        <f>IF('2965D'!H30="","",'2965D'!H30)</f>
        <v/>
      </c>
      <c r="J45" s="179" t="str">
        <f>IF('2965D'!I30="","",'2965D'!I30)</f>
        <v/>
      </c>
      <c r="K45" s="177" t="str">
        <f>IF('2965D'!J30="","",'2965D'!J30)</f>
        <v/>
      </c>
      <c r="L45" s="179" t="str">
        <f>IF('2965D'!K30="","",'2965D'!K30)</f>
        <v/>
      </c>
      <c r="M45" s="180" t="str">
        <f>IF(FORMATTED!K22=TRUE,"ü","")</f>
        <v/>
      </c>
      <c r="N45" s="181" t="str">
        <f>IF(FORMATTED!L22=TRUE,"ü","")</f>
        <v/>
      </c>
      <c r="O45" s="182" t="str">
        <f>IF('2965D'!N30="","",'2965D'!N30)</f>
        <v/>
      </c>
      <c r="P45" s="177" t="str">
        <f>IF('2965D'!P30="","",'2965D'!P30)</f>
        <v/>
      </c>
      <c r="Q45" s="178"/>
      <c r="R45" s="178"/>
      <c r="S45" s="178"/>
      <c r="T45" s="178"/>
      <c r="U45" s="178" t="str">
        <f>IF('2965D'!Q30="","",'2965D'!Q30)</f>
        <v/>
      </c>
      <c r="V45" s="183" t="str">
        <f>IF('2965D'!R30="","",'2965D'!R30)</f>
        <v/>
      </c>
      <c r="W45" s="184"/>
      <c r="X45" s="185" t="str">
        <f>IF(FORMATTED!H22=TRUE,"ü","")</f>
        <v/>
      </c>
      <c r="Y45" s="212" t="str">
        <f>IFERROR(VLOOKUP('2965D'!T30,Pilots[[SN Last 4]:[Pilot]],2,FALSE),"")</f>
        <v/>
      </c>
      <c r="Z45" s="200" t="str">
        <f>IF('2965D'!$G$5=B45,"Max","")</f>
        <v/>
      </c>
    </row>
    <row r="46" spans="2:26" ht="25.15" customHeight="1" thickTop="1" thickBot="1" x14ac:dyDescent="0.3">
      <c r="B46" s="187">
        <v>22</v>
      </c>
      <c r="C46" s="188">
        <f>'2965D'!B31</f>
        <v>0</v>
      </c>
      <c r="D46" s="188">
        <f>'2965D'!C31</f>
        <v>0</v>
      </c>
      <c r="E46" s="189">
        <f>'2965D'!D31</f>
        <v>0</v>
      </c>
      <c r="F46" s="190">
        <f>'2965D'!E31</f>
        <v>0</v>
      </c>
      <c r="G46" s="190">
        <f>'2965D'!F31</f>
        <v>0</v>
      </c>
      <c r="H46" s="191" t="str">
        <f>IF('2965D'!G31="","",'2965D'!G31)</f>
        <v/>
      </c>
      <c r="I46" s="192" t="str">
        <f>IF('2965D'!H31="","",'2965D'!H31)</f>
        <v/>
      </c>
      <c r="J46" s="193" t="str">
        <f>IF('2965D'!I31="","",'2965D'!I31)</f>
        <v/>
      </c>
      <c r="K46" s="191" t="str">
        <f>IF('2965D'!J31="","",'2965D'!J31)</f>
        <v/>
      </c>
      <c r="L46" s="193" t="str">
        <f>IF('2965D'!K31="","",'2965D'!K31)</f>
        <v/>
      </c>
      <c r="M46" s="194" t="str">
        <f>IF(FORMATTED!K23=TRUE,"ü","")</f>
        <v/>
      </c>
      <c r="N46" s="195" t="str">
        <f>IF(FORMATTED!L23=TRUE,"ü","")</f>
        <v/>
      </c>
      <c r="O46" s="196" t="str">
        <f>IF('2965D'!N31="","",'2965D'!N31)</f>
        <v/>
      </c>
      <c r="P46" s="191" t="str">
        <f>IF('2965D'!P31="","",'2965D'!P31)</f>
        <v/>
      </c>
      <c r="Q46" s="192"/>
      <c r="R46" s="192"/>
      <c r="S46" s="192"/>
      <c r="T46" s="192"/>
      <c r="U46" s="192" t="str">
        <f>IF('2965D'!Q31="","",'2965D'!Q31)</f>
        <v/>
      </c>
      <c r="V46" s="197" t="str">
        <f>IF('2965D'!R31="","",'2965D'!R31)</f>
        <v/>
      </c>
      <c r="W46" s="198"/>
      <c r="X46" s="199" t="str">
        <f>IF(FORMATTED!H23=TRUE,"ü","")</f>
        <v/>
      </c>
      <c r="Y46" s="226" t="str">
        <f>IFERROR(VLOOKUP('2965D'!T31,Pilots[[SN Last 4]:[Pilot]],2,FALSE),"")</f>
        <v/>
      </c>
      <c r="Z46" s="200" t="str">
        <f>IF('2965D'!$G$5=B46,"Max",IF('2965D'!$G$5=B45,"Launches",""))</f>
        <v/>
      </c>
    </row>
    <row r="47" spans="2:26" ht="25.15" customHeight="1" thickTop="1" thickBot="1" x14ac:dyDescent="0.3">
      <c r="B47" s="187">
        <v>23</v>
      </c>
      <c r="C47" s="188">
        <f>'2965D'!B32</f>
        <v>0</v>
      </c>
      <c r="D47" s="188">
        <f>'2965D'!C32</f>
        <v>0</v>
      </c>
      <c r="E47" s="189">
        <f>'2965D'!D32</f>
        <v>0</v>
      </c>
      <c r="F47" s="190">
        <f>'2965D'!E32</f>
        <v>0</v>
      </c>
      <c r="G47" s="190">
        <f>'2965D'!F32</f>
        <v>0</v>
      </c>
      <c r="H47" s="191" t="str">
        <f>IF('2965D'!G32="","",'2965D'!G32)</f>
        <v/>
      </c>
      <c r="I47" s="192" t="str">
        <f>IF('2965D'!H32="","",'2965D'!H32)</f>
        <v/>
      </c>
      <c r="J47" s="193" t="str">
        <f>IF('2965D'!I32="","",'2965D'!I32)</f>
        <v/>
      </c>
      <c r="K47" s="191" t="str">
        <f>IF('2965D'!J32="","",'2965D'!J32)</f>
        <v/>
      </c>
      <c r="L47" s="193" t="str">
        <f>IF('2965D'!K32="","",'2965D'!K32)</f>
        <v/>
      </c>
      <c r="M47" s="194" t="str">
        <f>IF(FORMATTED!K24=TRUE,"ü","")</f>
        <v/>
      </c>
      <c r="N47" s="195" t="str">
        <f>IF(FORMATTED!L24=TRUE,"ü","")</f>
        <v/>
      </c>
      <c r="O47" s="196" t="str">
        <f>IF('2965D'!N32="","",'2965D'!N32)</f>
        <v/>
      </c>
      <c r="P47" s="191" t="str">
        <f>IF('2965D'!P32="","",'2965D'!P32)</f>
        <v/>
      </c>
      <c r="Q47" s="192"/>
      <c r="R47" s="192"/>
      <c r="S47" s="192"/>
      <c r="T47" s="192"/>
      <c r="U47" s="192" t="str">
        <f>IF('2965D'!Q32="","",'2965D'!Q32)</f>
        <v/>
      </c>
      <c r="V47" s="197" t="str">
        <f>IF('2965D'!R32="","",'2965D'!R32)</f>
        <v/>
      </c>
      <c r="W47" s="198"/>
      <c r="X47" s="199" t="str">
        <f>IF(FORMATTED!H24=TRUE,"ü","")</f>
        <v/>
      </c>
      <c r="Y47" s="226" t="str">
        <f>IFERROR(VLOOKUP('2965D'!T32,Pilots[[SN Last 4]:[Pilot]],2,FALSE),"")</f>
        <v/>
      </c>
      <c r="Z47" s="200" t="str">
        <f>IF('2965D'!$G$5=B47,"Max",IF('2965D'!$G$5=B46,"Launches",""))</f>
        <v/>
      </c>
    </row>
    <row r="48" spans="2:26" ht="25.15" customHeight="1" thickTop="1" thickBot="1" x14ac:dyDescent="0.3">
      <c r="B48" s="187">
        <v>24</v>
      </c>
      <c r="C48" s="188">
        <f>'2965D'!B33</f>
        <v>0</v>
      </c>
      <c r="D48" s="188">
        <f>'2965D'!C33</f>
        <v>0</v>
      </c>
      <c r="E48" s="189">
        <f>'2965D'!D33</f>
        <v>0</v>
      </c>
      <c r="F48" s="190">
        <f>'2965D'!E33</f>
        <v>0</v>
      </c>
      <c r="G48" s="190">
        <f>'2965D'!F33</f>
        <v>0</v>
      </c>
      <c r="H48" s="191" t="str">
        <f>IF('2965D'!G33="","",'2965D'!G33)</f>
        <v/>
      </c>
      <c r="I48" s="192" t="str">
        <f>IF('2965D'!H33="","",'2965D'!H33)</f>
        <v/>
      </c>
      <c r="J48" s="193" t="str">
        <f>IF('2965D'!I33="","",'2965D'!I33)</f>
        <v/>
      </c>
      <c r="K48" s="191" t="str">
        <f>IF('2965D'!J33="","",'2965D'!J33)</f>
        <v/>
      </c>
      <c r="L48" s="193" t="str">
        <f>IF('2965D'!K33="","",'2965D'!K33)</f>
        <v/>
      </c>
      <c r="M48" s="194" t="str">
        <f>IF(FORMATTED!K25=TRUE,"ü","")</f>
        <v/>
      </c>
      <c r="N48" s="195" t="str">
        <f>IF(FORMATTED!L25=TRUE,"ü","")</f>
        <v/>
      </c>
      <c r="O48" s="196" t="str">
        <f>IF('2965D'!N33="","",'2965D'!N33)</f>
        <v/>
      </c>
      <c r="P48" s="191" t="str">
        <f>IF('2965D'!P33="","",'2965D'!P33)</f>
        <v/>
      </c>
      <c r="Q48" s="192"/>
      <c r="R48" s="192"/>
      <c r="S48" s="192"/>
      <c r="T48" s="192"/>
      <c r="U48" s="192" t="str">
        <f>IF('2965D'!Q33="","",'2965D'!Q33)</f>
        <v/>
      </c>
      <c r="V48" s="197" t="str">
        <f>IF('2965D'!R33="","",'2965D'!R33)</f>
        <v/>
      </c>
      <c r="W48" s="198"/>
      <c r="X48" s="199" t="str">
        <f>IF(FORMATTED!H25=TRUE,"ü","")</f>
        <v/>
      </c>
      <c r="Y48" s="226" t="str">
        <f>IFERROR(VLOOKUP('2965D'!T33,Pilots[[SN Last 4]:[Pilot]],2,FALSE),"")</f>
        <v/>
      </c>
      <c r="Z48" s="200" t="str">
        <f>IF('2965D'!$G$5=B48,"Max",IF('2965D'!$G$5=B47,"Launches",""))</f>
        <v/>
      </c>
    </row>
    <row r="49" spans="2:26" ht="25.15" customHeight="1" thickTop="1" thickBot="1" x14ac:dyDescent="0.3">
      <c r="B49" s="187">
        <v>25</v>
      </c>
      <c r="C49" s="188">
        <f>'2965D'!B34</f>
        <v>0</v>
      </c>
      <c r="D49" s="188">
        <f>'2965D'!C34</f>
        <v>0</v>
      </c>
      <c r="E49" s="189">
        <f>'2965D'!D34</f>
        <v>0</v>
      </c>
      <c r="F49" s="190">
        <f>'2965D'!E34</f>
        <v>0</v>
      </c>
      <c r="G49" s="190">
        <f>'2965D'!F34</f>
        <v>0</v>
      </c>
      <c r="H49" s="191" t="str">
        <f>IF('2965D'!G34="","",'2965D'!G34)</f>
        <v/>
      </c>
      <c r="I49" s="192" t="str">
        <f>IF('2965D'!H34="","",'2965D'!H34)</f>
        <v/>
      </c>
      <c r="J49" s="193" t="str">
        <f>IF('2965D'!I34="","",'2965D'!I34)</f>
        <v/>
      </c>
      <c r="K49" s="191" t="str">
        <f>IF('2965D'!J34="","",'2965D'!J34)</f>
        <v/>
      </c>
      <c r="L49" s="193" t="str">
        <f>IF('2965D'!K34="","",'2965D'!K34)</f>
        <v/>
      </c>
      <c r="M49" s="194" t="str">
        <f>IF(FORMATTED!K26=TRUE,"ü","")</f>
        <v/>
      </c>
      <c r="N49" s="195" t="str">
        <f>IF(FORMATTED!L26=TRUE,"ü","")</f>
        <v/>
      </c>
      <c r="O49" s="196" t="str">
        <f>IF('2965D'!N34="","",'2965D'!N34)</f>
        <v/>
      </c>
      <c r="P49" s="191" t="str">
        <f>IF('2965D'!P34="","",'2965D'!P34)</f>
        <v/>
      </c>
      <c r="Q49" s="192"/>
      <c r="R49" s="192"/>
      <c r="S49" s="192"/>
      <c r="T49" s="192"/>
      <c r="U49" s="192" t="str">
        <f>IF('2965D'!Q34="","",'2965D'!Q34)</f>
        <v/>
      </c>
      <c r="V49" s="197" t="str">
        <f>IF('2965D'!R34="","",'2965D'!R34)</f>
        <v/>
      </c>
      <c r="W49" s="198"/>
      <c r="X49" s="199" t="str">
        <f>IF(FORMATTED!H26=TRUE,"ü","")</f>
        <v/>
      </c>
      <c r="Y49" s="226" t="str">
        <f>IFERROR(VLOOKUP('2965D'!T34,Pilots[[SN Last 4]:[Pilot]],2,FALSE),"")</f>
        <v/>
      </c>
      <c r="Z49" s="200" t="str">
        <f>IF('2965D'!$G$5=B49,"Max",IF('2965D'!$G$5=B48,"Launches",""))</f>
        <v/>
      </c>
    </row>
    <row r="50" spans="2:26" ht="25.15" customHeight="1" thickTop="1" thickBot="1" x14ac:dyDescent="0.3">
      <c r="B50" s="187">
        <v>26</v>
      </c>
      <c r="C50" s="188">
        <f>'2965D'!B35</f>
        <v>0</v>
      </c>
      <c r="D50" s="188">
        <f>'2965D'!C35</f>
        <v>0</v>
      </c>
      <c r="E50" s="189">
        <f>'2965D'!D35</f>
        <v>0</v>
      </c>
      <c r="F50" s="190">
        <f>'2965D'!E35</f>
        <v>0</v>
      </c>
      <c r="G50" s="190">
        <f>'2965D'!F35</f>
        <v>0</v>
      </c>
      <c r="H50" s="191" t="str">
        <f>IF('2965D'!G35="","",'2965D'!G35)</f>
        <v/>
      </c>
      <c r="I50" s="192" t="str">
        <f>IF('2965D'!H35="","",'2965D'!H35)</f>
        <v/>
      </c>
      <c r="J50" s="193" t="str">
        <f>IF('2965D'!I35="","",'2965D'!I35)</f>
        <v/>
      </c>
      <c r="K50" s="191" t="str">
        <f>IF('2965D'!J35="","",'2965D'!J35)</f>
        <v/>
      </c>
      <c r="L50" s="193" t="str">
        <f>IF('2965D'!K35="","",'2965D'!K35)</f>
        <v/>
      </c>
      <c r="M50" s="194" t="str">
        <f>IF(FORMATTED!K27=TRUE,"ü","")</f>
        <v/>
      </c>
      <c r="N50" s="195" t="str">
        <f>IF(FORMATTED!L27=TRUE,"ü","")</f>
        <v/>
      </c>
      <c r="O50" s="196" t="str">
        <f>IF('2965D'!N35="","",'2965D'!N35)</f>
        <v/>
      </c>
      <c r="P50" s="191" t="str">
        <f>IF('2965D'!P35="","",'2965D'!P35)</f>
        <v/>
      </c>
      <c r="Q50" s="192"/>
      <c r="R50" s="192"/>
      <c r="S50" s="192"/>
      <c r="T50" s="192"/>
      <c r="U50" s="192" t="str">
        <f>IF('2965D'!Q35="","",'2965D'!Q35)</f>
        <v/>
      </c>
      <c r="V50" s="197" t="str">
        <f>IF('2965D'!R35="","",'2965D'!R35)</f>
        <v/>
      </c>
      <c r="W50" s="198"/>
      <c r="X50" s="199" t="str">
        <f>IF(FORMATTED!H27=TRUE,"ü","")</f>
        <v/>
      </c>
      <c r="Y50" s="226" t="str">
        <f>IFERROR(VLOOKUP('2965D'!T35,Pilots[[SN Last 4]:[Pilot]],2,FALSE),"")</f>
        <v/>
      </c>
      <c r="Z50" s="200" t="str">
        <f>IF('2965D'!$G$5=B50,"Max",IF('2965D'!$G$5=B49,"Launches",""))</f>
        <v/>
      </c>
    </row>
    <row r="51" spans="2:26" ht="25.15" customHeight="1" thickTop="1" thickBot="1" x14ac:dyDescent="0.3">
      <c r="B51" s="187">
        <v>27</v>
      </c>
      <c r="C51" s="188">
        <f>'2965D'!B36</f>
        <v>0</v>
      </c>
      <c r="D51" s="188">
        <f>'2965D'!C36</f>
        <v>0</v>
      </c>
      <c r="E51" s="189">
        <f>'2965D'!D36</f>
        <v>0</v>
      </c>
      <c r="F51" s="190">
        <f>'2965D'!E36</f>
        <v>0</v>
      </c>
      <c r="G51" s="190">
        <f>'2965D'!F36</f>
        <v>0</v>
      </c>
      <c r="H51" s="191" t="str">
        <f>IF('2965D'!G36="","",'2965D'!G36)</f>
        <v/>
      </c>
      <c r="I51" s="192" t="str">
        <f>IF('2965D'!H36="","",'2965D'!H36)</f>
        <v/>
      </c>
      <c r="J51" s="193" t="str">
        <f>IF('2965D'!I36="","",'2965D'!I36)</f>
        <v/>
      </c>
      <c r="K51" s="191" t="str">
        <f>IF('2965D'!J36="","",'2965D'!J36)</f>
        <v/>
      </c>
      <c r="L51" s="193" t="str">
        <f>IF('2965D'!K36="","",'2965D'!K36)</f>
        <v/>
      </c>
      <c r="M51" s="194" t="str">
        <f>IF(FORMATTED!K28=TRUE,"ü","")</f>
        <v/>
      </c>
      <c r="N51" s="195" t="str">
        <f>IF(FORMATTED!L28=TRUE,"ü","")</f>
        <v/>
      </c>
      <c r="O51" s="196" t="str">
        <f>IF('2965D'!N36="","",'2965D'!N36)</f>
        <v/>
      </c>
      <c r="P51" s="191" t="str">
        <f>IF('2965D'!P36="","",'2965D'!P36)</f>
        <v/>
      </c>
      <c r="Q51" s="192"/>
      <c r="R51" s="192"/>
      <c r="S51" s="192"/>
      <c r="T51" s="192"/>
      <c r="U51" s="192" t="str">
        <f>IF('2965D'!Q36="","",'2965D'!Q36)</f>
        <v/>
      </c>
      <c r="V51" s="197" t="str">
        <f>IF('2965D'!R36="","",'2965D'!R36)</f>
        <v/>
      </c>
      <c r="W51" s="198"/>
      <c r="X51" s="199" t="str">
        <f>IF(FORMATTED!H28=TRUE,"ü","")</f>
        <v/>
      </c>
      <c r="Y51" s="226" t="str">
        <f>IFERROR(VLOOKUP('2965D'!T36,Pilots[[SN Last 4]:[Pilot]],2,FALSE),"")</f>
        <v/>
      </c>
      <c r="Z51" s="200" t="str">
        <f>IF('2965D'!$G$5=B51,"Max",IF('2965D'!$G$5=B50,"Launches",""))</f>
        <v/>
      </c>
    </row>
    <row r="52" spans="2:26" ht="25.15" customHeight="1" thickTop="1" thickBot="1" x14ac:dyDescent="0.3">
      <c r="B52" s="187">
        <v>28</v>
      </c>
      <c r="C52" s="188">
        <f>'2965D'!B37</f>
        <v>0</v>
      </c>
      <c r="D52" s="188">
        <f>'2965D'!C37</f>
        <v>0</v>
      </c>
      <c r="E52" s="189">
        <f>'2965D'!D37</f>
        <v>0</v>
      </c>
      <c r="F52" s="190">
        <f>'2965D'!E37</f>
        <v>0</v>
      </c>
      <c r="G52" s="190">
        <f>'2965D'!F37</f>
        <v>0</v>
      </c>
      <c r="H52" s="191" t="str">
        <f>IF('2965D'!G37="","",'2965D'!G37)</f>
        <v/>
      </c>
      <c r="I52" s="192" t="str">
        <f>IF('2965D'!H37="","",'2965D'!H37)</f>
        <v/>
      </c>
      <c r="J52" s="193" t="str">
        <f>IF('2965D'!I37="","",'2965D'!I37)</f>
        <v/>
      </c>
      <c r="K52" s="191" t="str">
        <f>IF('2965D'!J37="","",'2965D'!J37)</f>
        <v/>
      </c>
      <c r="L52" s="193" t="str">
        <f>IF('2965D'!K37="","",'2965D'!K37)</f>
        <v/>
      </c>
      <c r="M52" s="194" t="str">
        <f>IF(FORMATTED!K29=TRUE,"ü","")</f>
        <v/>
      </c>
      <c r="N52" s="195" t="str">
        <f>IF(FORMATTED!L29=TRUE,"ü","")</f>
        <v/>
      </c>
      <c r="O52" s="196" t="str">
        <f>IF('2965D'!N37="","",'2965D'!N37)</f>
        <v/>
      </c>
      <c r="P52" s="191" t="str">
        <f>IF('2965D'!P37="","",'2965D'!P37)</f>
        <v/>
      </c>
      <c r="Q52" s="192"/>
      <c r="R52" s="192"/>
      <c r="S52" s="192"/>
      <c r="T52" s="192"/>
      <c r="U52" s="192" t="str">
        <f>IF('2965D'!Q37="","",'2965D'!Q37)</f>
        <v/>
      </c>
      <c r="V52" s="197" t="str">
        <f>IF('2965D'!R37="","",'2965D'!R37)</f>
        <v/>
      </c>
      <c r="W52" s="198"/>
      <c r="X52" s="199" t="str">
        <f>IF(FORMATTED!H29=TRUE,"ü","")</f>
        <v/>
      </c>
      <c r="Y52" s="226" t="str">
        <f>IFERROR(VLOOKUP('2965D'!T37,Pilots[[SN Last 4]:[Pilot]],2,FALSE),"")</f>
        <v/>
      </c>
      <c r="Z52" s="200" t="str">
        <f>IF('2965D'!$G$5=B52,"Max",IF('2965D'!$G$5=B51,"Launches",""))</f>
        <v/>
      </c>
    </row>
    <row r="53" spans="2:26" ht="25.15" customHeight="1" thickTop="1" thickBot="1" x14ac:dyDescent="0.3">
      <c r="B53" s="187">
        <v>29</v>
      </c>
      <c r="C53" s="188">
        <f>'2965D'!B38</f>
        <v>0</v>
      </c>
      <c r="D53" s="188">
        <f>'2965D'!C38</f>
        <v>0</v>
      </c>
      <c r="E53" s="189">
        <f>'2965D'!D38</f>
        <v>0</v>
      </c>
      <c r="F53" s="190">
        <f>'2965D'!E38</f>
        <v>0</v>
      </c>
      <c r="G53" s="190">
        <f>'2965D'!F38</f>
        <v>0</v>
      </c>
      <c r="H53" s="191" t="str">
        <f>IF('2965D'!G38="","",'2965D'!G38)</f>
        <v/>
      </c>
      <c r="I53" s="192" t="str">
        <f>IF('2965D'!H38="","",'2965D'!H38)</f>
        <v/>
      </c>
      <c r="J53" s="193" t="str">
        <f>IF('2965D'!I38="","",'2965D'!I38)</f>
        <v/>
      </c>
      <c r="K53" s="191" t="str">
        <f>IF('2965D'!J38="","",'2965D'!J38)</f>
        <v/>
      </c>
      <c r="L53" s="193" t="str">
        <f>IF('2965D'!K38="","",'2965D'!K38)</f>
        <v/>
      </c>
      <c r="M53" s="194" t="str">
        <f>IF(FORMATTED!K30=TRUE,"ü","")</f>
        <v/>
      </c>
      <c r="N53" s="195" t="str">
        <f>IF(FORMATTED!L30=TRUE,"ü","")</f>
        <v/>
      </c>
      <c r="O53" s="196" t="str">
        <f>IF('2965D'!N38="","",'2965D'!N38)</f>
        <v/>
      </c>
      <c r="P53" s="191" t="str">
        <f>IF('2965D'!P38="","",'2965D'!P38)</f>
        <v/>
      </c>
      <c r="Q53" s="192"/>
      <c r="R53" s="192"/>
      <c r="S53" s="192"/>
      <c r="T53" s="192"/>
      <c r="U53" s="192" t="str">
        <f>IF('2965D'!Q38="","",'2965D'!Q38)</f>
        <v/>
      </c>
      <c r="V53" s="197" t="str">
        <f>IF('2965D'!R38="","",'2965D'!R38)</f>
        <v/>
      </c>
      <c r="W53" s="198"/>
      <c r="X53" s="199" t="str">
        <f>IF(FORMATTED!H30=TRUE,"ü","")</f>
        <v/>
      </c>
      <c r="Y53" s="226" t="str">
        <f>IFERROR(VLOOKUP('2965D'!T38,Pilots[[SN Last 4]:[Pilot]],2,FALSE),"")</f>
        <v/>
      </c>
      <c r="Z53" s="200" t="str">
        <f>IF('2965D'!$G$5=B53,"Max",IF('2965D'!$G$5=B52,"Launches",""))</f>
        <v/>
      </c>
    </row>
    <row r="54" spans="2:26" ht="25.15" customHeight="1" thickTop="1" thickBot="1" x14ac:dyDescent="0.3">
      <c r="B54" s="187">
        <v>30</v>
      </c>
      <c r="C54" s="188">
        <f>'2965D'!B39</f>
        <v>0</v>
      </c>
      <c r="D54" s="188">
        <f>'2965D'!C39</f>
        <v>0</v>
      </c>
      <c r="E54" s="189">
        <f>'2965D'!D39</f>
        <v>0</v>
      </c>
      <c r="F54" s="190">
        <f>'2965D'!E39</f>
        <v>0</v>
      </c>
      <c r="G54" s="190">
        <f>'2965D'!F39</f>
        <v>0</v>
      </c>
      <c r="H54" s="191" t="str">
        <f>IF('2965D'!G39="","",'2965D'!G39)</f>
        <v/>
      </c>
      <c r="I54" s="192" t="str">
        <f>IF('2965D'!H39="","",'2965D'!H39)</f>
        <v/>
      </c>
      <c r="J54" s="193" t="str">
        <f>IF('2965D'!I39="","",'2965D'!I39)</f>
        <v/>
      </c>
      <c r="K54" s="191" t="str">
        <f>IF('2965D'!J39="","",'2965D'!J39)</f>
        <v/>
      </c>
      <c r="L54" s="193" t="str">
        <f>IF('2965D'!K39="","",'2965D'!K39)</f>
        <v/>
      </c>
      <c r="M54" s="194" t="str">
        <f>IF(FORMATTED!K31=TRUE,"ü","")</f>
        <v/>
      </c>
      <c r="N54" s="195" t="str">
        <f>IF(FORMATTED!L31=TRUE,"ü","")</f>
        <v/>
      </c>
      <c r="O54" s="196" t="str">
        <f>IF('2965D'!N39="","",'2965D'!N39)</f>
        <v/>
      </c>
      <c r="P54" s="191" t="str">
        <f>IF('2965D'!P39="","",'2965D'!P39)</f>
        <v/>
      </c>
      <c r="Q54" s="192"/>
      <c r="R54" s="192"/>
      <c r="S54" s="192"/>
      <c r="T54" s="192"/>
      <c r="U54" s="192" t="str">
        <f>IF('2965D'!Q39="","",'2965D'!Q39)</f>
        <v/>
      </c>
      <c r="V54" s="197" t="str">
        <f>IF('2965D'!R39="","",'2965D'!R39)</f>
        <v/>
      </c>
      <c r="W54" s="198"/>
      <c r="X54" s="199" t="str">
        <f>IF(FORMATTED!H31=TRUE,"ü","")</f>
        <v/>
      </c>
      <c r="Y54" s="226" t="str">
        <f>IFERROR(VLOOKUP('2965D'!T39,Pilots[[SN Last 4]:[Pilot]],2,FALSE),"")</f>
        <v/>
      </c>
      <c r="Z54" s="200" t="str">
        <f>IF('2965D'!$G$5=B54,"Max",IF('2965D'!$G$5=B53,"Launches",""))</f>
        <v/>
      </c>
    </row>
    <row r="55" spans="2:26" ht="25.15" customHeight="1" thickTop="1" thickBot="1" x14ac:dyDescent="0.3">
      <c r="B55" s="187">
        <v>31</v>
      </c>
      <c r="C55" s="188">
        <f>'2965D'!B40</f>
        <v>0</v>
      </c>
      <c r="D55" s="188">
        <f>'2965D'!C40</f>
        <v>0</v>
      </c>
      <c r="E55" s="189">
        <f>'2965D'!D40</f>
        <v>0</v>
      </c>
      <c r="F55" s="190">
        <f>'2965D'!E40</f>
        <v>0</v>
      </c>
      <c r="G55" s="190">
        <f>'2965D'!F40</f>
        <v>0</v>
      </c>
      <c r="H55" s="191" t="str">
        <f>IF('2965D'!G40="","",'2965D'!G40)</f>
        <v/>
      </c>
      <c r="I55" s="192" t="str">
        <f>IF('2965D'!H40="","",'2965D'!H40)</f>
        <v/>
      </c>
      <c r="J55" s="193" t="str">
        <f>IF('2965D'!I40="","",'2965D'!I40)</f>
        <v/>
      </c>
      <c r="K55" s="191" t="str">
        <f>IF('2965D'!J40="","",'2965D'!J40)</f>
        <v/>
      </c>
      <c r="L55" s="193" t="str">
        <f>IF('2965D'!K40="","",'2965D'!K40)</f>
        <v/>
      </c>
      <c r="M55" s="194" t="str">
        <f>IF(FORMATTED!K32=TRUE,"ü","")</f>
        <v/>
      </c>
      <c r="N55" s="195" t="str">
        <f>IF(FORMATTED!L32=TRUE,"ü","")</f>
        <v/>
      </c>
      <c r="O55" s="196" t="str">
        <f>IF('2965D'!N40="","",'2965D'!N40)</f>
        <v/>
      </c>
      <c r="P55" s="191" t="str">
        <f>IF('2965D'!P40="","",'2965D'!P40)</f>
        <v/>
      </c>
      <c r="Q55" s="192"/>
      <c r="R55" s="192"/>
      <c r="S55" s="192"/>
      <c r="T55" s="192"/>
      <c r="U55" s="192" t="str">
        <f>IF('2965D'!Q40="","",'2965D'!Q40)</f>
        <v/>
      </c>
      <c r="V55" s="197" t="str">
        <f>IF('2965D'!R40="","",'2965D'!R40)</f>
        <v/>
      </c>
      <c r="W55" s="198"/>
      <c r="X55" s="199" t="str">
        <f>IF(FORMATTED!H32=TRUE,"ü","")</f>
        <v/>
      </c>
      <c r="Y55" s="226" t="str">
        <f>IFERROR(VLOOKUP('2965D'!T40,Pilots[[SN Last 4]:[Pilot]],2,FALSE),"")</f>
        <v/>
      </c>
      <c r="Z55" s="200" t="str">
        <f>IF('2965D'!$G$5=B55,"Max",IF('2965D'!$G$5=B54,"Launches",""))</f>
        <v/>
      </c>
    </row>
    <row r="56" spans="2:26" ht="25.15" customHeight="1" thickTop="1" thickBot="1" x14ac:dyDescent="0.3">
      <c r="B56" s="187">
        <v>32</v>
      </c>
      <c r="C56" s="188">
        <f>'2965D'!B41</f>
        <v>0</v>
      </c>
      <c r="D56" s="188">
        <f>'2965D'!C41</f>
        <v>0</v>
      </c>
      <c r="E56" s="189">
        <f>'2965D'!D41</f>
        <v>0</v>
      </c>
      <c r="F56" s="190">
        <f>'2965D'!E41</f>
        <v>0</v>
      </c>
      <c r="G56" s="190">
        <f>'2965D'!F41</f>
        <v>0</v>
      </c>
      <c r="H56" s="191" t="str">
        <f>IF('2965D'!G41="","",'2965D'!G41)</f>
        <v/>
      </c>
      <c r="I56" s="192" t="str">
        <f>IF('2965D'!H41="","",'2965D'!H41)</f>
        <v/>
      </c>
      <c r="J56" s="193" t="str">
        <f>IF('2965D'!I41="","",'2965D'!I41)</f>
        <v/>
      </c>
      <c r="K56" s="191" t="str">
        <f>IF('2965D'!J41="","",'2965D'!J41)</f>
        <v/>
      </c>
      <c r="L56" s="193" t="str">
        <f>IF('2965D'!K41="","",'2965D'!K41)</f>
        <v/>
      </c>
      <c r="M56" s="194" t="str">
        <f>IF(FORMATTED!K33=TRUE,"ü","")</f>
        <v/>
      </c>
      <c r="N56" s="195" t="str">
        <f>IF(FORMATTED!L33=TRUE,"ü","")</f>
        <v/>
      </c>
      <c r="O56" s="196" t="str">
        <f>IF('2965D'!N41="","",'2965D'!N41)</f>
        <v/>
      </c>
      <c r="P56" s="191" t="str">
        <f>IF('2965D'!P41="","",'2965D'!P41)</f>
        <v/>
      </c>
      <c r="Q56" s="192"/>
      <c r="R56" s="192"/>
      <c r="S56" s="192"/>
      <c r="T56" s="192"/>
      <c r="U56" s="192" t="str">
        <f>IF('2965D'!Q41="","",'2965D'!Q41)</f>
        <v/>
      </c>
      <c r="V56" s="197" t="str">
        <f>IF('2965D'!R41="","",'2965D'!R41)</f>
        <v/>
      </c>
      <c r="W56" s="198"/>
      <c r="X56" s="199" t="str">
        <f>IF(FORMATTED!H33=TRUE,"ü","")</f>
        <v/>
      </c>
      <c r="Y56" s="226" t="str">
        <f>IFERROR(VLOOKUP('2965D'!T41,Pilots[[SN Last 4]:[Pilot]],2,FALSE),"")</f>
        <v/>
      </c>
      <c r="Z56" s="200" t="str">
        <f>IF('2965D'!$G$5=B56,"Max",IF('2965D'!$G$5=B55,"Launches",""))</f>
        <v/>
      </c>
    </row>
    <row r="57" spans="2:26" ht="25.15" customHeight="1" thickTop="1" thickBot="1" x14ac:dyDescent="0.3">
      <c r="C57" s="41"/>
      <c r="D57" s="41"/>
      <c r="E57" s="13"/>
      <c r="F57" s="320" t="s">
        <v>34</v>
      </c>
      <c r="G57" s="320"/>
      <c r="H57" s="114">
        <f>SUM(H45:H56)+H43</f>
        <v>0</v>
      </c>
      <c r="I57" s="145">
        <f>SUM(I45:I56)+I43</f>
        <v>0</v>
      </c>
      <c r="J57" s="145">
        <f t="shared" ref="J57:V57" si="5">SUM(J45:J56)+J43</f>
        <v>0</v>
      </c>
      <c r="K57" s="145">
        <f t="shared" si="5"/>
        <v>0</v>
      </c>
      <c r="L57" s="116">
        <f t="shared" si="5"/>
        <v>0</v>
      </c>
      <c r="M57" s="130"/>
      <c r="N57" s="130"/>
      <c r="O57" s="137">
        <f t="shared" si="5"/>
        <v>0</v>
      </c>
      <c r="P57" s="114">
        <f t="shared" si="5"/>
        <v>0</v>
      </c>
      <c r="Q57" s="145"/>
      <c r="R57" s="145"/>
      <c r="S57" s="145"/>
      <c r="T57" s="145"/>
      <c r="U57" s="145">
        <f t="shared" si="5"/>
        <v>0</v>
      </c>
      <c r="V57" s="116">
        <f t="shared" si="5"/>
        <v>0</v>
      </c>
      <c r="W57" s="13"/>
      <c r="X57" s="13"/>
      <c r="Y57" s="13"/>
      <c r="Z57" s="200" t="str">
        <f>IF('2965D'!$G$5=B56,"Launches","")</f>
        <v/>
      </c>
    </row>
    <row r="58" spans="2:26" ht="25.15" customHeight="1" thickBot="1" x14ac:dyDescent="0.3">
      <c r="B58" s="41"/>
      <c r="C58" s="41"/>
      <c r="D58" s="41"/>
      <c r="E58" s="13"/>
      <c r="F58" s="321" t="s">
        <v>35</v>
      </c>
      <c r="G58" s="321"/>
      <c r="H58" s="132">
        <f>IF(H44="","",H44+(12-COUNTBLANK(H45:H56)))</f>
        <v>0</v>
      </c>
      <c r="I58" s="133">
        <f>IF(I44="","",I44+(12-COUNTBLANK(I45:I56)))</f>
        <v>0</v>
      </c>
      <c r="J58" s="133">
        <f t="shared" ref="J58:O58" si="6">IF(J44="","",J44+(12-COUNTBLANK(J45:J56)))</f>
        <v>0</v>
      </c>
      <c r="K58" s="133">
        <f t="shared" si="6"/>
        <v>0</v>
      </c>
      <c r="L58" s="91">
        <f t="shared" si="6"/>
        <v>0</v>
      </c>
      <c r="M58" s="50" t="str">
        <f t="shared" si="6"/>
        <v/>
      </c>
      <c r="N58" s="50" t="str">
        <f t="shared" si="6"/>
        <v/>
      </c>
      <c r="O58" s="131">
        <f t="shared" si="6"/>
        <v>0</v>
      </c>
      <c r="P58" s="132">
        <f t="shared" ref="P58:V58" si="7">IF(P44="","",P44+12-COUNTBLANK(P$45:P$56))</f>
        <v>0</v>
      </c>
      <c r="Q58" s="133" t="str">
        <f t="shared" si="7"/>
        <v/>
      </c>
      <c r="R58" s="133" t="str">
        <f t="shared" si="7"/>
        <v/>
      </c>
      <c r="S58" s="133" t="str">
        <f t="shared" si="7"/>
        <v/>
      </c>
      <c r="T58" s="133" t="str">
        <f t="shared" si="7"/>
        <v/>
      </c>
      <c r="U58" s="133">
        <f t="shared" si="7"/>
        <v>0</v>
      </c>
      <c r="V58" s="91">
        <f t="shared" si="7"/>
        <v>0</v>
      </c>
      <c r="W58" s="13"/>
      <c r="X58" s="13"/>
      <c r="Y58" s="13"/>
    </row>
    <row r="59" spans="2:26" ht="25.15" customHeight="1" thickBot="1" x14ac:dyDescent="0.3">
      <c r="C59" s="41"/>
      <c r="D59" s="41"/>
      <c r="E59" s="13"/>
      <c r="F59" s="13"/>
      <c r="G59" s="13"/>
      <c r="H59" s="13"/>
      <c r="I59" s="13"/>
      <c r="J59" s="13"/>
      <c r="K59" s="13"/>
      <c r="L59" s="13"/>
      <c r="M59" s="13"/>
      <c r="N59" s="13"/>
      <c r="O59" s="13"/>
      <c r="P59" s="13"/>
      <c r="Q59" s="13"/>
      <c r="R59" s="13"/>
      <c r="S59" s="13"/>
      <c r="T59" s="13"/>
      <c r="U59" s="13"/>
      <c r="V59" s="13"/>
      <c r="W59" s="13"/>
      <c r="X59" s="13"/>
      <c r="Y59" s="13"/>
    </row>
    <row r="60" spans="2:26" ht="25.15" customHeight="1" thickBot="1" x14ac:dyDescent="0.3">
      <c r="B60" s="41"/>
      <c r="C60" s="41"/>
      <c r="D60" s="41"/>
      <c r="E60" s="13"/>
      <c r="F60" s="13"/>
      <c r="G60" s="13"/>
      <c r="H60" s="294" t="s">
        <v>34</v>
      </c>
      <c r="I60" s="295"/>
      <c r="J60" s="295"/>
      <c r="K60" s="295"/>
      <c r="L60" s="295"/>
      <c r="M60" s="295"/>
      <c r="N60" s="296" t="str">
        <f>IF(SUM(P57:V57)=0, "", SUM(P57:V57))</f>
        <v/>
      </c>
      <c r="O60" s="297"/>
      <c r="P60" s="295" t="s">
        <v>35</v>
      </c>
      <c r="Q60" s="295"/>
      <c r="R60" s="295"/>
      <c r="S60" s="295"/>
      <c r="T60" s="295"/>
      <c r="U60" s="295"/>
      <c r="V60" s="305" t="str">
        <f>IF(SUM(P58:V58)=0, "", SUM(P58:V58))</f>
        <v/>
      </c>
      <c r="W60" s="297"/>
      <c r="X60" s="13"/>
      <c r="Y60" s="13"/>
    </row>
    <row r="61" spans="2:26" ht="25.15" customHeight="1" thickBot="1" x14ac:dyDescent="0.3">
      <c r="C61" s="41"/>
      <c r="D61" s="41"/>
      <c r="E61" s="13"/>
      <c r="F61" s="13"/>
      <c r="G61" s="13"/>
      <c r="H61" s="290" t="s">
        <v>36</v>
      </c>
      <c r="I61" s="291"/>
      <c r="J61" s="291"/>
      <c r="K61" s="291"/>
      <c r="L61" s="291"/>
      <c r="M61" s="291"/>
      <c r="N61" s="292" t="str">
        <f>IF(ISBLANK('2965D'!C4), "", '2965D'!C4)</f>
        <v/>
      </c>
      <c r="O61" s="293"/>
      <c r="P61" s="291" t="s">
        <v>37</v>
      </c>
      <c r="Q61" s="291"/>
      <c r="R61" s="291"/>
      <c r="S61" s="291"/>
      <c r="T61" s="291"/>
      <c r="U61" s="291"/>
      <c r="V61" s="303" t="str">
        <f>IF(ISBLANK('2965D'!C5), "", '2965D'!C5)</f>
        <v/>
      </c>
      <c r="W61" s="304"/>
      <c r="X61" s="13"/>
      <c r="Y61" s="13"/>
    </row>
    <row r="62" spans="2:26" ht="25.15" customHeight="1" thickBot="1" x14ac:dyDescent="0.3">
      <c r="B62" s="300" t="s">
        <v>114</v>
      </c>
      <c r="C62" s="300"/>
      <c r="D62" s="300"/>
      <c r="E62" s="13"/>
      <c r="F62" s="13"/>
      <c r="G62" s="13"/>
      <c r="H62" s="294" t="s">
        <v>116</v>
      </c>
      <c r="I62" s="295"/>
      <c r="J62" s="295"/>
      <c r="K62" s="295"/>
      <c r="L62" s="295"/>
      <c r="M62" s="295"/>
      <c r="N62" s="296" t="str">
        <f>IF(SUM(N60:N61)=0,"",SUM(N60:N61))</f>
        <v/>
      </c>
      <c r="O62" s="297"/>
      <c r="P62" s="295" t="s">
        <v>117</v>
      </c>
      <c r="Q62" s="295"/>
      <c r="R62" s="295"/>
      <c r="S62" s="295"/>
      <c r="T62" s="295"/>
      <c r="U62" s="295"/>
      <c r="V62" s="305" t="str">
        <f>IF(SUM(V60:V61)=0, "", SUM(V60:V61))</f>
        <v/>
      </c>
      <c r="W62" s="297"/>
      <c r="X62" s="13"/>
      <c r="Y62" s="13"/>
    </row>
    <row r="63" spans="2:26" ht="25.15" customHeight="1" x14ac:dyDescent="0.25">
      <c r="B63" s="300"/>
      <c r="C63" s="300"/>
      <c r="D63" s="300"/>
      <c r="E63" s="13"/>
      <c r="F63" s="13"/>
      <c r="G63" s="13"/>
      <c r="H63" s="42"/>
      <c r="I63" s="42"/>
      <c r="J63" s="42"/>
      <c r="K63" s="42"/>
      <c r="L63" s="42"/>
      <c r="M63" s="42"/>
      <c r="N63" s="43"/>
      <c r="O63" s="43"/>
      <c r="P63" s="42"/>
      <c r="Q63" s="42"/>
      <c r="R63" s="42"/>
      <c r="S63" s="42"/>
      <c r="T63" s="42"/>
      <c r="U63" s="42"/>
      <c r="V63" s="43"/>
      <c r="W63" s="43"/>
      <c r="X63" s="13"/>
      <c r="Y63" s="13"/>
    </row>
    <row r="64" spans="2:26" ht="25.15" customHeight="1" x14ac:dyDescent="0.25">
      <c r="B64" s="300"/>
      <c r="C64" s="300"/>
      <c r="D64" s="300"/>
      <c r="E64" s="13"/>
      <c r="F64" s="13"/>
      <c r="G64" s="13"/>
      <c r="H64" s="42"/>
      <c r="I64" s="42"/>
      <c r="J64" s="42"/>
      <c r="K64" s="42"/>
      <c r="L64" s="42"/>
      <c r="M64" s="42"/>
      <c r="N64" s="43"/>
      <c r="O64" s="43"/>
      <c r="P64" s="42"/>
      <c r="Q64" s="42"/>
      <c r="R64" s="42"/>
      <c r="S64" s="42"/>
      <c r="T64" s="42"/>
      <c r="U64" s="42"/>
      <c r="V64" s="43"/>
      <c r="W64" s="43"/>
      <c r="X64" s="13"/>
      <c r="Y64" s="13"/>
    </row>
    <row r="65" spans="2:25" ht="25.15" customHeight="1" x14ac:dyDescent="0.25">
      <c r="B65" s="300"/>
      <c r="C65" s="300"/>
      <c r="D65" s="300"/>
      <c r="E65" s="13"/>
      <c r="F65" s="13"/>
      <c r="G65" s="13"/>
      <c r="H65" s="306" t="s">
        <v>118</v>
      </c>
      <c r="I65" s="306"/>
      <c r="J65" s="306"/>
      <c r="K65" s="306"/>
      <c r="L65" s="306"/>
      <c r="M65" s="306"/>
      <c r="N65" s="306"/>
      <c r="O65" s="306"/>
      <c r="P65" s="306"/>
      <c r="Q65" s="306"/>
      <c r="R65" s="306"/>
      <c r="S65" s="306"/>
      <c r="T65" s="306"/>
      <c r="U65" s="306"/>
      <c r="V65" s="306"/>
      <c r="W65" s="306"/>
      <c r="X65" s="13"/>
      <c r="Y65" s="13"/>
    </row>
    <row r="66" spans="2:25" ht="25.15" customHeight="1" x14ac:dyDescent="0.25">
      <c r="B66" s="300"/>
      <c r="C66" s="300"/>
      <c r="D66" s="300"/>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25">
      <c r="B67" s="16"/>
      <c r="C67" s="16"/>
      <c r="D67" s="16"/>
    </row>
    <row r="68" spans="2:25" ht="15" customHeight="1" x14ac:dyDescent="0.25"/>
    <row r="69" spans="2:25" ht="13.5" customHeight="1" x14ac:dyDescent="0.25"/>
  </sheetData>
  <sheetProtection algorithmName="SHA-512" hashValue="O/85E1CfgKribtNI0SN/SYcNY0+PUkNU8bUd5f6v+hHLEk08OhoAUUtmBvy4vFYaKEPlxr4HrE2bsflIDYrhSQ==" saltValue="d4Hp/4yQ9UjpkcxrT/Io4A==" spinCount="100000" sheet="1"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6"/>
  <sheetViews>
    <sheetView workbookViewId="0">
      <selection sqref="A1:B1"/>
    </sheetView>
  </sheetViews>
  <sheetFormatPr defaultRowHeight="15" x14ac:dyDescent="0.25"/>
  <cols>
    <col min="1" max="1" width="3" bestFit="1" customWidth="1"/>
    <col min="2" max="2" width="120" style="6" customWidth="1"/>
  </cols>
  <sheetData>
    <row r="1" spans="1:2" ht="18.75" x14ac:dyDescent="0.3">
      <c r="A1" s="337" t="s">
        <v>204</v>
      </c>
      <c r="B1" s="337"/>
    </row>
    <row r="2" spans="1:2" s="11" customFormat="1" x14ac:dyDescent="0.25">
      <c r="A2" s="12">
        <v>1</v>
      </c>
      <c r="B2" s="6" t="s">
        <v>203</v>
      </c>
    </row>
    <row r="3" spans="1:2" x14ac:dyDescent="0.25">
      <c r="A3" s="12">
        <v>2</v>
      </c>
      <c r="B3" s="22" t="s">
        <v>0</v>
      </c>
    </row>
    <row r="4" spans="1:2" x14ac:dyDescent="0.25">
      <c r="A4" s="12">
        <v>3</v>
      </c>
      <c r="B4" s="22" t="s">
        <v>101</v>
      </c>
    </row>
    <row r="5" spans="1:2" x14ac:dyDescent="0.25">
      <c r="A5" s="12">
        <v>4</v>
      </c>
      <c r="B5" s="22" t="s">
        <v>209</v>
      </c>
    </row>
    <row r="6" spans="1:2" x14ac:dyDescent="0.25">
      <c r="A6" s="12"/>
      <c r="B6" s="22"/>
    </row>
    <row r="7" spans="1:2" ht="18.75" x14ac:dyDescent="0.3">
      <c r="A7" s="337" t="s">
        <v>205</v>
      </c>
      <c r="B7" s="337"/>
    </row>
    <row r="8" spans="1:2" x14ac:dyDescent="0.25">
      <c r="A8" s="12">
        <v>1</v>
      </c>
      <c r="B8" s="6" t="s">
        <v>206</v>
      </c>
    </row>
    <row r="9" spans="1:2" x14ac:dyDescent="0.25">
      <c r="A9" s="12">
        <v>2</v>
      </c>
      <c r="B9" s="22" t="s">
        <v>141</v>
      </c>
    </row>
    <row r="10" spans="1:2" x14ac:dyDescent="0.25">
      <c r="A10" s="12">
        <v>3</v>
      </c>
      <c r="B10" s="23" t="s">
        <v>207</v>
      </c>
    </row>
    <row r="11" spans="1:2" x14ac:dyDescent="0.25">
      <c r="A11" s="12">
        <v>4</v>
      </c>
      <c r="B11" s="6" t="s">
        <v>208</v>
      </c>
    </row>
    <row r="12" spans="1:2" x14ac:dyDescent="0.25">
      <c r="A12" s="12"/>
    </row>
    <row r="13" spans="1:2" s="11" customFormat="1" x14ac:dyDescent="0.25">
      <c r="A13" s="12"/>
      <c r="B13" s="6" t="s">
        <v>146</v>
      </c>
    </row>
    <row r="14" spans="1:2" x14ac:dyDescent="0.25">
      <c r="A14" s="12"/>
      <c r="B14" s="22"/>
    </row>
    <row r="15" spans="1:2" x14ac:dyDescent="0.25">
      <c r="A15" s="12"/>
    </row>
    <row r="16" spans="1:2" x14ac:dyDescent="0.25">
      <c r="A16" s="11"/>
      <c r="B16" s="24"/>
    </row>
  </sheetData>
  <mergeCells count="2">
    <mergeCell ref="A1:B1"/>
    <mergeCell ref="A7:B7"/>
  </mergeCells>
  <hyperlinks>
    <hyperlink ref="B3" location="'2965D'!F2" display="Enter aircraft number and date along the top" xr:uid="{00000000-0004-0000-0200-000001000000}"/>
    <hyperlink ref="B9"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9"/>
  <sheetViews>
    <sheetView topLeftCell="A8" workbookViewId="0">
      <selection activeCell="A20" sqref="A20"/>
    </sheetView>
  </sheetViews>
  <sheetFormatPr defaultColWidth="9.28515625" defaultRowHeight="15" x14ac:dyDescent="0.25"/>
  <cols>
    <col min="1" max="1" width="8.42578125" style="20" bestFit="1" customWidth="1"/>
    <col min="2" max="2" width="11.42578125" style="14" bestFit="1" customWidth="1"/>
    <col min="3" max="3" width="8.5703125" style="14" bestFit="1" customWidth="1"/>
    <col min="4" max="4" width="148.42578125" style="14" customWidth="1"/>
    <col min="5" max="16384" width="9.28515625" style="14"/>
  </cols>
  <sheetData>
    <row r="1" spans="1:4" s="18" customFormat="1" ht="15.75" x14ac:dyDescent="0.25">
      <c r="A1" s="19" t="s">
        <v>38</v>
      </c>
      <c r="B1" s="17" t="s">
        <v>4</v>
      </c>
      <c r="C1" s="17" t="s">
        <v>39</v>
      </c>
      <c r="D1" s="17" t="s">
        <v>40</v>
      </c>
    </row>
    <row r="2" spans="1:4" ht="60" x14ac:dyDescent="0.25">
      <c r="A2" s="20" t="s">
        <v>41</v>
      </c>
      <c r="B2" s="15">
        <v>45027</v>
      </c>
      <c r="C2" s="14" t="s">
        <v>42</v>
      </c>
      <c r="D2" s="16" t="s">
        <v>43</v>
      </c>
    </row>
    <row r="3" spans="1:4" x14ac:dyDescent="0.25">
      <c r="A3" s="20" t="s">
        <v>44</v>
      </c>
      <c r="B3" s="15">
        <v>45030</v>
      </c>
      <c r="C3" s="14" t="s">
        <v>42</v>
      </c>
      <c r="D3" s="14" t="s">
        <v>45</v>
      </c>
    </row>
    <row r="4" spans="1:4" x14ac:dyDescent="0.25">
      <c r="A4" s="20" t="s">
        <v>46</v>
      </c>
      <c r="B4" s="15">
        <v>45074</v>
      </c>
      <c r="C4" s="14" t="s">
        <v>42</v>
      </c>
      <c r="D4" s="14" t="s">
        <v>47</v>
      </c>
    </row>
    <row r="5" spans="1:4" ht="90" x14ac:dyDescent="0.25">
      <c r="A5" s="20" t="s">
        <v>48</v>
      </c>
      <c r="B5" s="15">
        <v>45088</v>
      </c>
      <c r="C5" s="14" t="s">
        <v>49</v>
      </c>
      <c r="D5" s="16" t="s">
        <v>50</v>
      </c>
    </row>
    <row r="6" spans="1:4" x14ac:dyDescent="0.25">
      <c r="A6" s="20" t="s">
        <v>51</v>
      </c>
      <c r="B6" s="15">
        <v>45101</v>
      </c>
      <c r="C6" s="14" t="s">
        <v>49</v>
      </c>
      <c r="D6" s="14" t="s">
        <v>52</v>
      </c>
    </row>
    <row r="7" spans="1:4" ht="60" x14ac:dyDescent="0.25">
      <c r="A7" s="20" t="s">
        <v>98</v>
      </c>
      <c r="B7" s="15">
        <v>45136</v>
      </c>
      <c r="C7" s="14" t="s">
        <v>42</v>
      </c>
      <c r="D7" s="16" t="s">
        <v>102</v>
      </c>
    </row>
    <row r="8" spans="1:4" ht="45" x14ac:dyDescent="0.25">
      <c r="A8" s="20" t="s">
        <v>127</v>
      </c>
      <c r="B8" s="15">
        <v>45112</v>
      </c>
      <c r="C8" s="14" t="s">
        <v>128</v>
      </c>
      <c r="D8" s="16" t="s">
        <v>129</v>
      </c>
    </row>
    <row r="9" spans="1:4" x14ac:dyDescent="0.25">
      <c r="A9" s="20" t="s">
        <v>138</v>
      </c>
      <c r="B9" s="15">
        <v>45513</v>
      </c>
      <c r="C9" s="14" t="s">
        <v>128</v>
      </c>
      <c r="D9" s="14" t="s">
        <v>137</v>
      </c>
    </row>
    <row r="10" spans="1:4" ht="45" x14ac:dyDescent="0.25">
      <c r="A10" s="20" t="s">
        <v>142</v>
      </c>
      <c r="B10" s="15">
        <v>45522</v>
      </c>
      <c r="C10" s="14" t="s">
        <v>42</v>
      </c>
      <c r="D10" s="16" t="s">
        <v>143</v>
      </c>
    </row>
    <row r="11" spans="1:4" ht="30" x14ac:dyDescent="0.25">
      <c r="A11" s="20" t="s">
        <v>147</v>
      </c>
      <c r="B11" s="15">
        <v>45560</v>
      </c>
      <c r="C11" s="14" t="s">
        <v>42</v>
      </c>
      <c r="D11" s="16" t="s">
        <v>148</v>
      </c>
    </row>
    <row r="12" spans="1:4" x14ac:dyDescent="0.25">
      <c r="A12" s="20" t="s">
        <v>149</v>
      </c>
      <c r="B12" s="15">
        <v>45564</v>
      </c>
      <c r="C12" s="14" t="s">
        <v>42</v>
      </c>
      <c r="D12" s="14" t="s">
        <v>150</v>
      </c>
    </row>
    <row r="13" spans="1:4" x14ac:dyDescent="0.25">
      <c r="A13" s="20" t="s">
        <v>151</v>
      </c>
      <c r="B13" s="15">
        <v>45564</v>
      </c>
      <c r="C13" s="14" t="s">
        <v>42</v>
      </c>
      <c r="D13" s="14" t="s">
        <v>152</v>
      </c>
    </row>
    <row r="14" spans="1:4" x14ac:dyDescent="0.25">
      <c r="A14" s="20" t="s">
        <v>156</v>
      </c>
      <c r="B14" s="15">
        <v>45633</v>
      </c>
      <c r="C14" s="14" t="s">
        <v>157</v>
      </c>
      <c r="D14" s="14" t="s">
        <v>158</v>
      </c>
    </row>
    <row r="15" spans="1:4" x14ac:dyDescent="0.25">
      <c r="A15" s="20" t="s">
        <v>174</v>
      </c>
      <c r="B15" s="15">
        <v>45633</v>
      </c>
      <c r="C15" s="14" t="s">
        <v>157</v>
      </c>
      <c r="D15" s="14" t="s">
        <v>196</v>
      </c>
    </row>
    <row r="16" spans="1:4" x14ac:dyDescent="0.25">
      <c r="A16" s="20" t="s">
        <v>197</v>
      </c>
      <c r="B16" s="15">
        <v>45642</v>
      </c>
      <c r="C16" s="14" t="s">
        <v>42</v>
      </c>
      <c r="D16" s="14" t="s">
        <v>198</v>
      </c>
    </row>
    <row r="17" spans="1:4" ht="45" x14ac:dyDescent="0.25">
      <c r="A17" s="20" t="s">
        <v>202</v>
      </c>
      <c r="B17" s="15">
        <v>45699</v>
      </c>
      <c r="C17" s="14" t="s">
        <v>42</v>
      </c>
      <c r="D17" s="16" t="s">
        <v>210</v>
      </c>
    </row>
    <row r="18" spans="1:4" ht="45" x14ac:dyDescent="0.25">
      <c r="A18" s="20" t="s">
        <v>211</v>
      </c>
      <c r="B18" s="15">
        <v>45703</v>
      </c>
      <c r="C18" s="14" t="s">
        <v>42</v>
      </c>
      <c r="D18" s="16" t="s">
        <v>215</v>
      </c>
    </row>
    <row r="19" spans="1:4" x14ac:dyDescent="0.25">
      <c r="A19" s="20" t="s">
        <v>216</v>
      </c>
      <c r="B19" s="15">
        <v>45725</v>
      </c>
      <c r="C19" s="14" t="s">
        <v>49</v>
      </c>
      <c r="D19" s="14" t="s">
        <v>217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35"/>
  <sheetViews>
    <sheetView workbookViewId="0">
      <selection activeCell="D19" sqref="D19"/>
    </sheetView>
  </sheetViews>
  <sheetFormatPr defaultRowHeight="15" x14ac:dyDescent="0.25"/>
  <cols>
    <col min="1" max="1" width="11.42578125" bestFit="1" customWidth="1"/>
    <col min="2" max="2" width="12.28515625" bestFit="1" customWidth="1"/>
    <col min="3" max="3" width="11.140625" bestFit="1" customWidth="1"/>
    <col min="4" max="4" width="16.42578125" bestFit="1" customWidth="1"/>
    <col min="5" max="5" width="13.5703125" bestFit="1" customWidth="1"/>
    <col min="6" max="6" width="10.7109375" customWidth="1"/>
    <col min="8" max="8" width="10.28515625" customWidth="1"/>
  </cols>
  <sheetData>
    <row r="1" spans="1:5" x14ac:dyDescent="0.25">
      <c r="A1" t="s">
        <v>53</v>
      </c>
      <c r="B1" t="s">
        <v>54</v>
      </c>
      <c r="D1" s="11" t="s">
        <v>21</v>
      </c>
    </row>
    <row r="2" spans="1:5" x14ac:dyDescent="0.25">
      <c r="A2" t="s">
        <v>55</v>
      </c>
      <c r="B2" t="s">
        <v>56</v>
      </c>
      <c r="D2" t="s">
        <v>14</v>
      </c>
    </row>
    <row r="3" spans="1:5" x14ac:dyDescent="0.25">
      <c r="A3" t="s">
        <v>57</v>
      </c>
      <c r="B3" t="s">
        <v>58</v>
      </c>
      <c r="D3" t="s">
        <v>99</v>
      </c>
    </row>
    <row r="4" spans="1:5" x14ac:dyDescent="0.25">
      <c r="A4" t="s">
        <v>59</v>
      </c>
      <c r="B4" t="s">
        <v>60</v>
      </c>
      <c r="D4" t="s">
        <v>100</v>
      </c>
    </row>
    <row r="5" spans="1:5" x14ac:dyDescent="0.25">
      <c r="A5" t="s">
        <v>61</v>
      </c>
      <c r="B5" t="s">
        <v>62</v>
      </c>
      <c r="D5" t="s">
        <v>68</v>
      </c>
    </row>
    <row r="6" spans="1:5" x14ac:dyDescent="0.25">
      <c r="A6" t="s">
        <v>63</v>
      </c>
      <c r="B6" t="s">
        <v>64</v>
      </c>
      <c r="D6" t="s">
        <v>69</v>
      </c>
    </row>
    <row r="7" spans="1:5" x14ac:dyDescent="0.25">
      <c r="D7" t="s">
        <v>71</v>
      </c>
    </row>
    <row r="9" spans="1:5" x14ac:dyDescent="0.25">
      <c r="A9" t="s">
        <v>159</v>
      </c>
      <c r="B9" t="s">
        <v>65</v>
      </c>
      <c r="C9" t="s">
        <v>195</v>
      </c>
      <c r="E9" s="11"/>
    </row>
    <row r="10" spans="1:5" x14ac:dyDescent="0.25">
      <c r="A10" s="3" t="s">
        <v>160</v>
      </c>
      <c r="B10" t="s">
        <v>128</v>
      </c>
      <c r="C10" t="s">
        <v>66</v>
      </c>
    </row>
    <row r="11" spans="1:5" x14ac:dyDescent="0.25">
      <c r="A11" s="3" t="s">
        <v>212</v>
      </c>
      <c r="B11" t="s">
        <v>175</v>
      </c>
      <c r="C11" t="s">
        <v>67</v>
      </c>
    </row>
    <row r="12" spans="1:5" x14ac:dyDescent="0.25">
      <c r="A12" s="3" t="s">
        <v>161</v>
      </c>
      <c r="B12" t="s">
        <v>214</v>
      </c>
      <c r="C12" t="s">
        <v>213</v>
      </c>
    </row>
    <row r="13" spans="1:5" x14ac:dyDescent="0.25">
      <c r="A13" s="3" t="s">
        <v>199</v>
      </c>
      <c r="B13" t="s">
        <v>200</v>
      </c>
      <c r="C13" t="s">
        <v>201</v>
      </c>
    </row>
    <row r="14" spans="1:5" x14ac:dyDescent="0.25">
      <c r="A14" s="3" t="s">
        <v>162</v>
      </c>
      <c r="B14" t="s">
        <v>176</v>
      </c>
      <c r="C14" t="s">
        <v>70</v>
      </c>
    </row>
    <row r="15" spans="1:5" x14ac:dyDescent="0.25">
      <c r="A15" s="3"/>
      <c r="B15" t="s">
        <v>177</v>
      </c>
      <c r="C15" t="s">
        <v>72</v>
      </c>
    </row>
    <row r="16" spans="1:5" x14ac:dyDescent="0.25">
      <c r="A16" s="3" t="s">
        <v>163</v>
      </c>
      <c r="B16" t="s">
        <v>178</v>
      </c>
      <c r="C16" t="s">
        <v>130</v>
      </c>
    </row>
    <row r="17" spans="1:3" x14ac:dyDescent="0.25">
      <c r="A17" s="3"/>
      <c r="B17" t="s">
        <v>179</v>
      </c>
      <c r="C17" t="s">
        <v>73</v>
      </c>
    </row>
    <row r="18" spans="1:3" x14ac:dyDescent="0.25">
      <c r="A18" s="3"/>
      <c r="B18" t="s">
        <v>180</v>
      </c>
      <c r="C18" t="s">
        <v>74</v>
      </c>
    </row>
    <row r="19" spans="1:3" x14ac:dyDescent="0.25">
      <c r="A19" s="3" t="s">
        <v>164</v>
      </c>
      <c r="B19" t="s">
        <v>181</v>
      </c>
      <c r="C19" t="s">
        <v>75</v>
      </c>
    </row>
    <row r="20" spans="1:3" x14ac:dyDescent="0.25">
      <c r="A20" s="3"/>
      <c r="B20" t="s">
        <v>182</v>
      </c>
      <c r="C20" t="s">
        <v>76</v>
      </c>
    </row>
    <row r="21" spans="1:3" x14ac:dyDescent="0.25">
      <c r="A21" s="3" t="s">
        <v>165</v>
      </c>
      <c r="B21" t="s">
        <v>42</v>
      </c>
      <c r="C21" t="s">
        <v>77</v>
      </c>
    </row>
    <row r="22" spans="1:3" x14ac:dyDescent="0.25">
      <c r="A22" s="3" t="s">
        <v>166</v>
      </c>
      <c r="B22" t="s">
        <v>183</v>
      </c>
      <c r="C22" t="s">
        <v>78</v>
      </c>
    </row>
    <row r="23" spans="1:3" x14ac:dyDescent="0.25">
      <c r="A23" s="3"/>
      <c r="B23" t="s">
        <v>184</v>
      </c>
      <c r="C23" t="s">
        <v>79</v>
      </c>
    </row>
    <row r="24" spans="1:3" x14ac:dyDescent="0.25">
      <c r="A24" s="3"/>
      <c r="B24" t="s">
        <v>185</v>
      </c>
      <c r="C24" t="s">
        <v>80</v>
      </c>
    </row>
    <row r="25" spans="1:3" x14ac:dyDescent="0.25">
      <c r="A25" s="3" t="s">
        <v>167</v>
      </c>
      <c r="B25" t="s">
        <v>185</v>
      </c>
      <c r="C25" t="s">
        <v>81</v>
      </c>
    </row>
    <row r="26" spans="1:3" x14ac:dyDescent="0.25">
      <c r="A26" s="3" t="s">
        <v>168</v>
      </c>
      <c r="B26" t="s">
        <v>186</v>
      </c>
      <c r="C26" t="s">
        <v>82</v>
      </c>
    </row>
    <row r="27" spans="1:3" x14ac:dyDescent="0.25">
      <c r="A27" s="3"/>
      <c r="B27" t="s">
        <v>187</v>
      </c>
      <c r="C27" t="s">
        <v>83</v>
      </c>
    </row>
    <row r="28" spans="1:3" x14ac:dyDescent="0.25">
      <c r="A28" s="3" t="s">
        <v>169</v>
      </c>
      <c r="B28" t="s">
        <v>188</v>
      </c>
      <c r="C28" t="s">
        <v>84</v>
      </c>
    </row>
    <row r="29" spans="1:3" x14ac:dyDescent="0.25">
      <c r="A29" s="3" t="s">
        <v>170</v>
      </c>
      <c r="B29" t="s">
        <v>189</v>
      </c>
      <c r="C29" t="s">
        <v>85</v>
      </c>
    </row>
    <row r="30" spans="1:3" x14ac:dyDescent="0.25">
      <c r="A30" s="3" t="s">
        <v>171</v>
      </c>
      <c r="B30" t="s">
        <v>190</v>
      </c>
      <c r="C30" t="s">
        <v>86</v>
      </c>
    </row>
    <row r="31" spans="1:3" x14ac:dyDescent="0.25">
      <c r="A31" s="3" t="s">
        <v>172</v>
      </c>
      <c r="B31" t="s">
        <v>191</v>
      </c>
      <c r="C31" t="s">
        <v>87</v>
      </c>
    </row>
    <row r="32" spans="1:3" x14ac:dyDescent="0.25">
      <c r="A32" s="3" t="s">
        <v>173</v>
      </c>
      <c r="B32" t="s">
        <v>49</v>
      </c>
      <c r="C32" t="s">
        <v>88</v>
      </c>
    </row>
    <row r="33" spans="1:3" x14ac:dyDescent="0.25">
      <c r="A33" s="3"/>
      <c r="B33" t="s">
        <v>192</v>
      </c>
      <c r="C33" t="s">
        <v>89</v>
      </c>
    </row>
    <row r="34" spans="1:3" x14ac:dyDescent="0.25">
      <c r="A34" s="3"/>
      <c r="B34" t="s">
        <v>193</v>
      </c>
      <c r="C34" t="s">
        <v>90</v>
      </c>
    </row>
    <row r="35" spans="1:3" x14ac:dyDescent="0.25">
      <c r="A35" s="3"/>
      <c r="B35" t="s">
        <v>194</v>
      </c>
      <c r="C35" t="s">
        <v>91</v>
      </c>
    </row>
  </sheetData>
  <sortState xmlns:xlrd2="http://schemas.microsoft.com/office/spreadsheetml/2017/richdata2" ref="B10:B46">
    <sortCondition ref="B10:B46"/>
  </sortState>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D19" sqref="D19"/>
    </sheetView>
  </sheetViews>
  <sheetFormatPr defaultRowHeight="15" x14ac:dyDescent="0.25"/>
  <cols>
    <col min="1" max="1" width="21" style="3" customWidth="1"/>
    <col min="2" max="2" width="16.7109375" style="3" customWidth="1"/>
    <col min="3" max="3" width="9.28515625" style="3"/>
    <col min="4" max="4" width="15.5703125" style="1" bestFit="1" customWidth="1"/>
    <col min="5" max="5" width="15" style="1" customWidth="1"/>
    <col min="6" max="6" width="13.28515625" style="2" bestFit="1" customWidth="1"/>
    <col min="7" max="7" width="9.28515625" style="2"/>
    <col min="8" max="9" width="9.28515625" style="3"/>
    <col min="10" max="10" width="10.5703125" style="8" bestFit="1" customWidth="1"/>
  </cols>
  <sheetData>
    <row r="1" spans="1:12" s="6" customFormat="1" x14ac:dyDescent="0.25">
      <c r="A1" s="10" t="s">
        <v>92</v>
      </c>
      <c r="B1" s="10" t="s">
        <v>93</v>
      </c>
      <c r="C1" s="10" t="s">
        <v>21</v>
      </c>
      <c r="D1" s="7" t="s">
        <v>94</v>
      </c>
      <c r="E1" s="4" t="s">
        <v>95</v>
      </c>
      <c r="F1" s="5" t="s">
        <v>96</v>
      </c>
      <c r="G1" s="5" t="s">
        <v>10</v>
      </c>
      <c r="H1" s="10" t="s">
        <v>12</v>
      </c>
      <c r="I1" s="10" t="s">
        <v>97</v>
      </c>
      <c r="J1" s="9" t="s">
        <v>4</v>
      </c>
      <c r="K1" s="21" t="s">
        <v>29</v>
      </c>
      <c r="L1" s="21" t="s">
        <v>30</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D19" sqref="D19"/>
    </sheetView>
  </sheetViews>
  <sheetFormatPr defaultRowHeight="15" x14ac:dyDescent="0.25"/>
  <cols>
    <col min="1" max="1" width="10.7109375" bestFit="1" customWidth="1"/>
    <col min="2" max="2" width="9.7109375" customWidth="1"/>
    <col min="3" max="3" width="13.28515625" customWidth="1"/>
    <col min="4" max="4" width="16.28515625" customWidth="1"/>
  </cols>
  <sheetData>
    <row r="1" spans="1:4" x14ac:dyDescent="0.25">
      <c r="A1" t="s">
        <v>4</v>
      </c>
      <c r="B1" t="s">
        <v>97</v>
      </c>
      <c r="C1" t="s">
        <v>144</v>
      </c>
      <c r="D1" t="s">
        <v>145</v>
      </c>
    </row>
    <row r="2" spans="1:4" x14ac:dyDescent="0.25">
      <c r="A2" s="8">
        <f>'2965D'!O2</f>
        <v>0</v>
      </c>
      <c r="B2">
        <f>'2965D'!F2</f>
        <v>0</v>
      </c>
      <c r="C2" s="208">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purl.org/dc/elements/1.1/"/>
    <ds:schemaRef ds:uri="http://schemas.microsoft.com/office/2006/metadata/properties"/>
    <ds:schemaRef ds:uri="http://schemas.microsoft.com/office/2006/documentManagement/types"/>
    <ds:schemaRef ds:uri="875ba578-886d-4752-9169-e010f98bcdf2"/>
    <ds:schemaRef ds:uri="http://purl.org/dc/terms/"/>
    <ds:schemaRef ds:uri="http://schemas.microsoft.com/office/infopath/2007/PartnerControls"/>
    <ds:schemaRef ds:uri="http://schemas.openxmlformats.org/package/2006/metadata/core-properties"/>
    <ds:schemaRef ds:uri="http://www.w3.org/XML/1998/namespace"/>
    <ds:schemaRef ds:uri="49078254-ee6b-43b6-84cb-00b3a9850307"/>
    <ds:schemaRef ds:uri="http://purl.org/dc/dcmitype/"/>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2965D</vt:lpstr>
      <vt:lpstr>Print Copy</vt:lpstr>
      <vt:lpstr>Instructions</vt:lpstr>
      <vt:lpstr>Changelog</vt:lpstr>
      <vt:lpstr>INPUT_DATA</vt:lpstr>
      <vt:lpstr>FORMATTED</vt:lpstr>
      <vt:lpstr>_AIRCRAFT</vt:lpstr>
      <vt:lpstr>'Print Copy'!Print_Area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White, Chris Flt Lt (RAFAC-2FTS-VGS-661)</dc:creator>
  <cp:keywords/>
  <dc:description/>
  <cp:lastModifiedBy>White, Chris Flt Lt (RAFAC-2FTS-VGS-661)</cp:lastModifiedBy>
  <cp:revision/>
  <cp:lastPrinted>2024-08-18T13:03:19Z</cp:lastPrinted>
  <dcterms:created xsi:type="dcterms:W3CDTF">2022-06-26T15:01:24Z</dcterms:created>
  <dcterms:modified xsi:type="dcterms:W3CDTF">2025-03-09T15:16:32Z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