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166925"/>
  <mc:AlternateContent xmlns:mc="http://schemas.openxmlformats.org/markup-compatibility/2006">
    <mc:Choice Requires="x15">
      <x15ac:absPath xmlns:x15ac="http://schemas.microsoft.com/office/spreadsheetml/2010/11/ac" url="C:\git\viking-log-keeper\docs\"/>
    </mc:Choice>
  </mc:AlternateContent>
  <xr:revisionPtr revIDLastSave="0" documentId="8_{67904494-B9EF-429A-BE16-0233E5B01867}" xr6:coauthVersionLast="47" xr6:coauthVersionMax="47" xr10:uidLastSave="{00000000-0000-0000-0000-000000000000}"/>
  <bookViews>
    <workbookView xWindow="-120" yWindow="-120" windowWidth="38640" windowHeight="211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'2965D'!$A$2:$T$32</definedName>
    <definedName name="_xlnm.Print_Area" localSheetId="1">'Print Copy'!$B$1:$Y$67</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O41" i="1" l="1"/>
  <c r="G33" i="5" s="1"/>
  <c r="V62" i="9"/>
  <c r="N62" i="9"/>
  <c r="F20" i="9"/>
  <c r="Q58" i="9"/>
  <c r="R58" i="9"/>
  <c r="S58" i="9"/>
  <c r="Q59" i="9"/>
  <c r="R59" i="9"/>
  <c r="S59" i="9"/>
  <c r="T59" i="9"/>
  <c r="Q44" i="9"/>
  <c r="R44" i="9"/>
  <c r="S44" i="9"/>
  <c r="T44" i="9"/>
  <c r="T58" i="9" s="1"/>
  <c r="Q45" i="9"/>
  <c r="R45" i="9"/>
  <c r="S45" i="9"/>
  <c r="T45" i="9"/>
  <c r="S48" i="1" a="1"/>
  <c r="S48" i="1" s="1"/>
  <c r="Q39" i="9"/>
  <c r="F39" i="9"/>
  <c r="Q5" i="9"/>
  <c r="F5" i="9"/>
  <c r="X47" i="9"/>
  <c r="X48" i="9"/>
  <c r="X49" i="9"/>
  <c r="X50" i="9"/>
  <c r="X51" i="9"/>
  <c r="X52" i="9"/>
  <c r="X53" i="9"/>
  <c r="X54" i="9"/>
  <c r="X55" i="9"/>
  <c r="X56" i="9"/>
  <c r="X57" i="9"/>
  <c r="X46" i="9"/>
  <c r="M47" i="9"/>
  <c r="N47" i="9"/>
  <c r="M48" i="9"/>
  <c r="N48" i="9"/>
  <c r="M49" i="9"/>
  <c r="N49" i="9"/>
  <c r="M50" i="9"/>
  <c r="N50" i="9"/>
  <c r="M51" i="9"/>
  <c r="N51" i="9"/>
  <c r="M52" i="9"/>
  <c r="N52" i="9"/>
  <c r="M53" i="9"/>
  <c r="N53" i="9"/>
  <c r="M54" i="9"/>
  <c r="N54" i="9"/>
  <c r="M55" i="9"/>
  <c r="N55" i="9"/>
  <c r="M56" i="9"/>
  <c r="N56" i="9"/>
  <c r="M57" i="9"/>
  <c r="N57" i="9"/>
  <c r="N46" i="9"/>
  <c r="M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C57" i="9"/>
  <c r="D57" i="9"/>
  <c r="E57" i="9"/>
  <c r="F57" i="9"/>
  <c r="G57" i="9"/>
  <c r="W57" i="9"/>
  <c r="D46" i="9"/>
  <c r="E46" i="9"/>
  <c r="F46" i="9"/>
  <c r="G46" i="9"/>
  <c r="W46" i="9"/>
  <c r="C46" i="9"/>
  <c r="L43" i="1"/>
  <c r="M43" i="1"/>
  <c r="L42" i="1"/>
  <c r="M42" i="1"/>
  <c r="X12" i="9"/>
  <c r="X13" i="9"/>
  <c r="X14" i="9"/>
  <c r="X15" i="9"/>
  <c r="X16" i="9"/>
  <c r="X17" i="9"/>
  <c r="X18" i="9"/>
  <c r="X19" i="9"/>
  <c r="X20" i="9"/>
  <c r="X21" i="9"/>
  <c r="X22" i="9"/>
  <c r="X23" i="9"/>
  <c r="X24" i="9"/>
  <c r="X25" i="9"/>
  <c r="X26" i="9"/>
  <c r="X27" i="9"/>
  <c r="X28" i="9"/>
  <c r="X29" i="9"/>
  <c r="X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M29" i="9"/>
  <c r="N29" i="9"/>
  <c r="M11" i="9"/>
  <c r="N11" i="9"/>
  <c r="X10" i="9"/>
  <c r="M10" i="9"/>
  <c r="N10"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F19" i="9"/>
  <c r="G19" i="9"/>
  <c r="C20" i="9"/>
  <c r="D20" i="9"/>
  <c r="E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C29" i="9"/>
  <c r="D29" i="9"/>
  <c r="E29" i="9"/>
  <c r="F29" i="9"/>
  <c r="G29" i="9"/>
  <c r="C11" i="9"/>
  <c r="D11" i="9"/>
  <c r="E11" i="9"/>
  <c r="F11" i="9"/>
  <c r="G11" i="9"/>
  <c r="F10" i="9"/>
  <c r="G10" i="9"/>
  <c r="E10" i="9"/>
  <c r="D10" i="9"/>
  <c r="C10" i="9"/>
  <c r="J34" i="1"/>
  <c r="K50" i="9" s="1"/>
  <c r="K34" i="1"/>
  <c r="L50" i="9" s="1"/>
  <c r="J35" i="1"/>
  <c r="K51" i="9" s="1"/>
  <c r="K35" i="1"/>
  <c r="L51" i="9" s="1"/>
  <c r="J36" i="1"/>
  <c r="K52" i="9" s="1"/>
  <c r="K36" i="1"/>
  <c r="L52" i="9" s="1"/>
  <c r="J37" i="1"/>
  <c r="K53" i="9" s="1"/>
  <c r="K37" i="1"/>
  <c r="L53" i="9" s="1"/>
  <c r="J38" i="1"/>
  <c r="K54" i="9" s="1"/>
  <c r="K38" i="1"/>
  <c r="L54" i="9" s="1"/>
  <c r="J39" i="1"/>
  <c r="K55" i="9" s="1"/>
  <c r="K39" i="1"/>
  <c r="L55" i="9" s="1"/>
  <c r="J40" i="1"/>
  <c r="K56" i="9" s="1"/>
  <c r="K40" i="1"/>
  <c r="L56" i="9" s="1"/>
  <c r="J41" i="1"/>
  <c r="K57" i="9" s="1"/>
  <c r="K41" i="1"/>
  <c r="L57" i="9" s="1"/>
  <c r="K33" i="1"/>
  <c r="L49" i="9" s="1"/>
  <c r="J33" i="1"/>
  <c r="K49" i="9" s="1"/>
  <c r="J11" i="1"/>
  <c r="K11" i="9" s="1"/>
  <c r="J12" i="1"/>
  <c r="K12" i="9" s="1"/>
  <c r="K13" i="9"/>
  <c r="J14" i="1"/>
  <c r="K14" i="9" s="1"/>
  <c r="J15" i="1"/>
  <c r="K15" i="9" s="1"/>
  <c r="J16" i="1"/>
  <c r="K16" i="9" s="1"/>
  <c r="J17" i="1"/>
  <c r="K17" i="9" s="1"/>
  <c r="J18" i="1"/>
  <c r="K18" i="9" s="1"/>
  <c r="J19" i="1"/>
  <c r="K19" i="9" s="1"/>
  <c r="J20" i="1"/>
  <c r="K20" i="9" s="1"/>
  <c r="J21" i="1"/>
  <c r="K21" i="9" s="1"/>
  <c r="J22" i="1"/>
  <c r="K22" i="9" s="1"/>
  <c r="J23" i="1"/>
  <c r="K23" i="9" s="1"/>
  <c r="J24" i="1"/>
  <c r="K24" i="9" s="1"/>
  <c r="J25" i="1"/>
  <c r="K25" i="9" s="1"/>
  <c r="J26" i="1"/>
  <c r="K26" i="9" s="1"/>
  <c r="J27" i="1"/>
  <c r="K27" i="9" s="1"/>
  <c r="J28" i="1"/>
  <c r="K28" i="9" s="1"/>
  <c r="J29" i="1"/>
  <c r="K29" i="9" s="1"/>
  <c r="J30" i="1"/>
  <c r="K46" i="9" s="1"/>
  <c r="J31" i="1"/>
  <c r="K47" i="9" s="1"/>
  <c r="J32" i="1"/>
  <c r="K48" i="9" s="1"/>
  <c r="J10" i="1"/>
  <c r="K10" i="9" s="1"/>
  <c r="K11" i="1"/>
  <c r="L11" i="9" s="1"/>
  <c r="K12" i="1"/>
  <c r="L12" i="9" s="1"/>
  <c r="L13" i="9"/>
  <c r="K14" i="1"/>
  <c r="L14" i="9" s="1"/>
  <c r="K15" i="1"/>
  <c r="L15" i="9" s="1"/>
  <c r="K16" i="1"/>
  <c r="L16" i="9" s="1"/>
  <c r="K17" i="1"/>
  <c r="L17" i="9" s="1"/>
  <c r="K18" i="1"/>
  <c r="L18" i="9" s="1"/>
  <c r="K19" i="1"/>
  <c r="L19" i="9" s="1"/>
  <c r="K20" i="1"/>
  <c r="L20" i="9" s="1"/>
  <c r="K21" i="1"/>
  <c r="L21" i="9" s="1"/>
  <c r="K22" i="1"/>
  <c r="L22" i="9" s="1"/>
  <c r="K23" i="1"/>
  <c r="L23" i="9" s="1"/>
  <c r="K24" i="1"/>
  <c r="L24" i="9" s="1"/>
  <c r="K25" i="1"/>
  <c r="L25" i="9" s="1"/>
  <c r="K26" i="1"/>
  <c r="L26" i="9" s="1"/>
  <c r="K27" i="1"/>
  <c r="L27" i="9" s="1"/>
  <c r="K28" i="1"/>
  <c r="L28" i="9" s="1"/>
  <c r="K29" i="1"/>
  <c r="L29" i="9" s="1"/>
  <c r="K30" i="1"/>
  <c r="L46" i="9" s="1"/>
  <c r="K31" i="1"/>
  <c r="L47" i="9" s="1"/>
  <c r="K32" i="1"/>
  <c r="L48" i="9" s="1"/>
  <c r="K10" i="1"/>
  <c r="L10" i="9" s="1"/>
  <c r="O19" i="1"/>
  <c r="G11" i="5" s="1"/>
  <c r="O34" i="1"/>
  <c r="P34" i="1" s="1"/>
  <c r="P50" i="9" s="1"/>
  <c r="O35" i="1"/>
  <c r="P35" i="1" s="1"/>
  <c r="P51" i="9" s="1"/>
  <c r="O36" i="1"/>
  <c r="Q36" i="1" s="1"/>
  <c r="U52" i="9" s="1"/>
  <c r="O37" i="1"/>
  <c r="R37" i="1" s="1"/>
  <c r="V53" i="9" s="1"/>
  <c r="O38" i="1"/>
  <c r="Q38" i="1" s="1"/>
  <c r="U54" i="9" s="1"/>
  <c r="O39" i="1"/>
  <c r="Q39" i="1" s="1"/>
  <c r="U55" i="9" s="1"/>
  <c r="O40" i="1"/>
  <c r="G32" i="5" s="1"/>
  <c r="O33" i="1"/>
  <c r="Q33" i="1" s="1"/>
  <c r="U49" i="9" s="1"/>
  <c r="O11" i="1"/>
  <c r="R11" i="1" s="1"/>
  <c r="V11" i="9" s="1"/>
  <c r="O12" i="1"/>
  <c r="P12" i="1" s="1"/>
  <c r="P12" i="9" s="1"/>
  <c r="O14" i="1"/>
  <c r="P14" i="1" s="1"/>
  <c r="P14" i="9" s="1"/>
  <c r="O15" i="1"/>
  <c r="R15" i="1" s="1"/>
  <c r="V15" i="9" s="1"/>
  <c r="O16" i="1"/>
  <c r="G8" i="5" s="1"/>
  <c r="O17" i="1"/>
  <c r="G9" i="5" s="1"/>
  <c r="O18" i="1"/>
  <c r="G10" i="5" s="1"/>
  <c r="O20" i="1"/>
  <c r="R20" i="1" s="1"/>
  <c r="V20" i="9" s="1"/>
  <c r="O21" i="1"/>
  <c r="Q21" i="1" s="1"/>
  <c r="U21" i="9" s="1"/>
  <c r="O22" i="1"/>
  <c r="G14" i="5" s="1"/>
  <c r="O23" i="1"/>
  <c r="G15" i="5" s="1"/>
  <c r="O24" i="1"/>
  <c r="G16" i="5" s="1"/>
  <c r="O25" i="1"/>
  <c r="G17" i="5" s="1"/>
  <c r="O26" i="1"/>
  <c r="R26" i="1" s="1"/>
  <c r="V26" i="9" s="1"/>
  <c r="O27" i="1"/>
  <c r="O28" i="1"/>
  <c r="R28" i="1" s="1"/>
  <c r="V28" i="9" s="1"/>
  <c r="O29" i="1"/>
  <c r="R29" i="1" s="1"/>
  <c r="V29" i="9" s="1"/>
  <c r="O30" i="1"/>
  <c r="G22" i="5" s="1"/>
  <c r="O31" i="1"/>
  <c r="R31" i="1" s="1"/>
  <c r="V47" i="9" s="1"/>
  <c r="O32" i="1"/>
  <c r="P32" i="1" s="1"/>
  <c r="P48" i="9" s="1"/>
  <c r="O10" i="1"/>
  <c r="R10" i="1" s="1"/>
  <c r="V10" i="9" s="1"/>
  <c r="V30" i="9" s="1"/>
  <c r="V44" i="9" s="1"/>
  <c r="V58" i="9" s="1"/>
  <c r="J2" i="5"/>
  <c r="D2" i="5" s="1"/>
  <c r="A4" i="5"/>
  <c r="N34" i="1"/>
  <c r="O50" i="9" s="1"/>
  <c r="I33" i="1"/>
  <c r="J49" i="9" s="1"/>
  <c r="H33" i="1"/>
  <c r="I49"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H10" i="1"/>
  <c r="I10" i="9" s="1"/>
  <c r="H11" i="1"/>
  <c r="I11" i="9" s="1"/>
  <c r="N41" i="1"/>
  <c r="O57" i="9" s="1"/>
  <c r="I41" i="1"/>
  <c r="J57" i="9" s="1"/>
  <c r="H41" i="1"/>
  <c r="I57" i="9" s="1"/>
  <c r="G41" i="1"/>
  <c r="H57" i="9" s="1"/>
  <c r="N40" i="1"/>
  <c r="O56" i="9" s="1"/>
  <c r="I40" i="1"/>
  <c r="J56" i="9" s="1"/>
  <c r="H40" i="1"/>
  <c r="I56" i="9" s="1"/>
  <c r="G40" i="1"/>
  <c r="H56" i="9" s="1"/>
  <c r="N39" i="1"/>
  <c r="O55" i="9" s="1"/>
  <c r="I39" i="1"/>
  <c r="J55" i="9" s="1"/>
  <c r="H39" i="1"/>
  <c r="I55" i="9" s="1"/>
  <c r="G39" i="1"/>
  <c r="H55" i="9" s="1"/>
  <c r="N38" i="1"/>
  <c r="O54" i="9" s="1"/>
  <c r="I38" i="1"/>
  <c r="J54" i="9" s="1"/>
  <c r="H38" i="1"/>
  <c r="I54" i="9" s="1"/>
  <c r="G38" i="1"/>
  <c r="H54" i="9" s="1"/>
  <c r="N37" i="1"/>
  <c r="O53" i="9" s="1"/>
  <c r="I37" i="1"/>
  <c r="J53" i="9" s="1"/>
  <c r="H37" i="1"/>
  <c r="I53" i="9" s="1"/>
  <c r="G37" i="1"/>
  <c r="H53" i="9" s="1"/>
  <c r="N36" i="1"/>
  <c r="O52" i="9" s="1"/>
  <c r="I36" i="1"/>
  <c r="J52" i="9" s="1"/>
  <c r="H36" i="1"/>
  <c r="I52" i="9" s="1"/>
  <c r="G36" i="1"/>
  <c r="H52" i="9" s="1"/>
  <c r="N35" i="1"/>
  <c r="O51" i="9" s="1"/>
  <c r="I35" i="1"/>
  <c r="J51" i="9" s="1"/>
  <c r="H35" i="1"/>
  <c r="I51" i="9" s="1"/>
  <c r="G35" i="1"/>
  <c r="H51" i="9" s="1"/>
  <c r="I34" i="1"/>
  <c r="J50" i="9" s="1"/>
  <c r="H34" i="1"/>
  <c r="I50" i="9" s="1"/>
  <c r="G34" i="1"/>
  <c r="H50" i="9" s="1"/>
  <c r="N33" i="1"/>
  <c r="O49" i="9" s="1"/>
  <c r="G33" i="1"/>
  <c r="H49" i="9" s="1"/>
  <c r="G10" i="1"/>
  <c r="H10" i="9" s="1"/>
  <c r="N11" i="1"/>
  <c r="O11" i="9" s="1"/>
  <c r="N12" i="1"/>
  <c r="O12" i="9" s="1"/>
  <c r="O13" i="9"/>
  <c r="N14" i="1"/>
  <c r="O14" i="9" s="1"/>
  <c r="N15" i="1"/>
  <c r="O15" i="9" s="1"/>
  <c r="N16" i="1"/>
  <c r="O16" i="9" s="1"/>
  <c r="N17" i="1"/>
  <c r="O17" i="9" s="1"/>
  <c r="N18" i="1"/>
  <c r="O18" i="9" s="1"/>
  <c r="N19" i="1"/>
  <c r="O19" i="9" s="1"/>
  <c r="N20" i="1"/>
  <c r="O20" i="9" s="1"/>
  <c r="N21" i="1"/>
  <c r="O21" i="9" s="1"/>
  <c r="N22" i="1"/>
  <c r="O22" i="9" s="1"/>
  <c r="N23" i="1"/>
  <c r="O23" i="9" s="1"/>
  <c r="N24" i="1"/>
  <c r="O24" i="9" s="1"/>
  <c r="N25" i="1"/>
  <c r="O25" i="9" s="1"/>
  <c r="N26" i="1"/>
  <c r="O26" i="9" s="1"/>
  <c r="N27" i="1"/>
  <c r="O27" i="9" s="1"/>
  <c r="N28" i="1"/>
  <c r="O28" i="9" s="1"/>
  <c r="N29" i="1"/>
  <c r="O29" i="9" s="1"/>
  <c r="N30" i="1"/>
  <c r="O46" i="9" s="1"/>
  <c r="N31" i="1"/>
  <c r="O47" i="9" s="1"/>
  <c r="N32" i="1"/>
  <c r="O48" i="9" s="1"/>
  <c r="N10" i="1"/>
  <c r="N42" i="1" s="1"/>
  <c r="G11" i="1"/>
  <c r="H11" i="9" s="1"/>
  <c r="I11" i="1"/>
  <c r="J11" i="9" s="1"/>
  <c r="G12" i="1"/>
  <c r="H12" i="9" s="1"/>
  <c r="H12" i="1"/>
  <c r="I12" i="9" s="1"/>
  <c r="I12" i="1"/>
  <c r="J12" i="9" s="1"/>
  <c r="H13" i="9"/>
  <c r="I13" i="9"/>
  <c r="J13" i="9"/>
  <c r="G14" i="1"/>
  <c r="H14" i="9" s="1"/>
  <c r="H14" i="1"/>
  <c r="I14" i="9" s="1"/>
  <c r="I14" i="1"/>
  <c r="J14" i="9" s="1"/>
  <c r="G15" i="1"/>
  <c r="H15" i="9" s="1"/>
  <c r="H15" i="1"/>
  <c r="I15" i="9" s="1"/>
  <c r="I15" i="1"/>
  <c r="J15" i="9" s="1"/>
  <c r="G16" i="1"/>
  <c r="H16" i="9" s="1"/>
  <c r="H16" i="1"/>
  <c r="I16" i="9" s="1"/>
  <c r="I16" i="1"/>
  <c r="J16" i="9" s="1"/>
  <c r="G17" i="1"/>
  <c r="H17" i="9" s="1"/>
  <c r="H17" i="1"/>
  <c r="I17" i="9" s="1"/>
  <c r="I17" i="1"/>
  <c r="J17" i="9" s="1"/>
  <c r="G18" i="1"/>
  <c r="H18" i="9" s="1"/>
  <c r="H18" i="1"/>
  <c r="I18" i="9" s="1"/>
  <c r="I18" i="1"/>
  <c r="J18" i="9" s="1"/>
  <c r="G19" i="1"/>
  <c r="H19" i="9" s="1"/>
  <c r="H19" i="1"/>
  <c r="I19" i="9" s="1"/>
  <c r="I19" i="1"/>
  <c r="J19" i="9" s="1"/>
  <c r="G20" i="1"/>
  <c r="H20" i="9" s="1"/>
  <c r="H20" i="1"/>
  <c r="I20" i="9" s="1"/>
  <c r="I20" i="1"/>
  <c r="J20" i="9" s="1"/>
  <c r="G21" i="1"/>
  <c r="H21" i="9" s="1"/>
  <c r="H21" i="1"/>
  <c r="I21" i="9" s="1"/>
  <c r="I21" i="1"/>
  <c r="J21" i="9" s="1"/>
  <c r="G22" i="1"/>
  <c r="H22" i="9" s="1"/>
  <c r="H22" i="1"/>
  <c r="I22" i="9" s="1"/>
  <c r="I22" i="1"/>
  <c r="J22" i="9" s="1"/>
  <c r="G23" i="1"/>
  <c r="H23" i="9" s="1"/>
  <c r="H23" i="1"/>
  <c r="I23" i="9" s="1"/>
  <c r="I23" i="1"/>
  <c r="J23" i="9" s="1"/>
  <c r="G24" i="1"/>
  <c r="H24" i="9" s="1"/>
  <c r="H24" i="1"/>
  <c r="I24" i="9" s="1"/>
  <c r="I24" i="1"/>
  <c r="J24" i="9" s="1"/>
  <c r="G25" i="1"/>
  <c r="H25" i="9" s="1"/>
  <c r="H25" i="1"/>
  <c r="I25" i="9" s="1"/>
  <c r="I25" i="1"/>
  <c r="J25" i="9" s="1"/>
  <c r="G26" i="1"/>
  <c r="H26" i="9" s="1"/>
  <c r="H26" i="1"/>
  <c r="I26" i="9" s="1"/>
  <c r="I26" i="1"/>
  <c r="J26" i="9" s="1"/>
  <c r="G27" i="1"/>
  <c r="H27" i="9" s="1"/>
  <c r="H27" i="1"/>
  <c r="I27" i="9" s="1"/>
  <c r="I27" i="1"/>
  <c r="J27" i="9" s="1"/>
  <c r="G28" i="1"/>
  <c r="H28" i="9" s="1"/>
  <c r="H28" i="1"/>
  <c r="I28" i="9" s="1"/>
  <c r="I28" i="1"/>
  <c r="J28" i="9" s="1"/>
  <c r="G29" i="1"/>
  <c r="H29" i="9" s="1"/>
  <c r="H29" i="1"/>
  <c r="I29" i="9" s="1"/>
  <c r="I29" i="1"/>
  <c r="J29" i="9" s="1"/>
  <c r="G30" i="1"/>
  <c r="H46" i="9" s="1"/>
  <c r="H30" i="1"/>
  <c r="I46" i="9" s="1"/>
  <c r="I30" i="1"/>
  <c r="J46" i="9" s="1"/>
  <c r="G31" i="1"/>
  <c r="H47" i="9" s="1"/>
  <c r="H31" i="1"/>
  <c r="I47" i="9" s="1"/>
  <c r="I31" i="1"/>
  <c r="J47" i="9" s="1"/>
  <c r="G32" i="1"/>
  <c r="H48" i="9" s="1"/>
  <c r="H32" i="1"/>
  <c r="I48" i="9" s="1"/>
  <c r="I32" i="1"/>
  <c r="J48" i="9" s="1"/>
  <c r="I10" i="1"/>
  <c r="J10" i="9" s="1"/>
  <c r="L39" i="9" l="1"/>
  <c r="G43" i="1"/>
  <c r="H43" i="1"/>
  <c r="I43" i="1"/>
  <c r="J43" i="1"/>
  <c r="K43" i="1"/>
  <c r="N43" i="1"/>
  <c r="G42" i="1"/>
  <c r="K42" i="1"/>
  <c r="J42" i="1"/>
  <c r="I42" i="1"/>
  <c r="H42" i="1"/>
  <c r="I30" i="9"/>
  <c r="I44" i="9" s="1"/>
  <c r="I58" i="9" s="1"/>
  <c r="J31" i="9"/>
  <c r="J45" i="9" s="1"/>
  <c r="J59" i="9" s="1"/>
  <c r="O10" i="9"/>
  <c r="L30" i="9"/>
  <c r="L44" i="9" s="1"/>
  <c r="L58" i="9" s="1"/>
  <c r="H31" i="9"/>
  <c r="H45" i="9" s="1"/>
  <c r="H59" i="9" s="1"/>
  <c r="L31" i="9"/>
  <c r="L45" i="9" s="1"/>
  <c r="L59" i="9" s="1"/>
  <c r="K31" i="9"/>
  <c r="K45" i="9" s="1"/>
  <c r="K59" i="9" s="1"/>
  <c r="K30" i="9"/>
  <c r="K44" i="9" s="1"/>
  <c r="K58" i="9" s="1"/>
  <c r="J30" i="9"/>
  <c r="J44" i="9" s="1"/>
  <c r="J58" i="9" s="1"/>
  <c r="I31" i="9"/>
  <c r="I45" i="9" s="1"/>
  <c r="I59" i="9" s="1"/>
  <c r="H30" i="9"/>
  <c r="H44" i="9" s="1"/>
  <c r="H58" i="9" s="1"/>
  <c r="L5" i="9"/>
  <c r="G26" i="5"/>
  <c r="R33" i="1"/>
  <c r="V49" i="9" s="1"/>
  <c r="P33" i="1"/>
  <c r="P49" i="9" s="1"/>
  <c r="Q41" i="1"/>
  <c r="U57" i="9" s="1"/>
  <c r="P41" i="1"/>
  <c r="P57" i="9" s="1"/>
  <c r="Q40" i="1"/>
  <c r="U56" i="9" s="1"/>
  <c r="R36" i="1"/>
  <c r="V52" i="9" s="1"/>
  <c r="R35" i="1"/>
  <c r="V51" i="9" s="1"/>
  <c r="G25" i="5"/>
  <c r="R34" i="1"/>
  <c r="V50" i="9" s="1"/>
  <c r="P40" i="1"/>
  <c r="P56" i="9" s="1"/>
  <c r="G31" i="5"/>
  <c r="R39" i="1"/>
  <c r="V55" i="9" s="1"/>
  <c r="G30" i="5"/>
  <c r="R38" i="1"/>
  <c r="V54" i="9" s="1"/>
  <c r="G29" i="5"/>
  <c r="Q37" i="1"/>
  <c r="U53" i="9" s="1"/>
  <c r="G28" i="5"/>
  <c r="P36" i="1"/>
  <c r="P52" i="9" s="1"/>
  <c r="Q35" i="1"/>
  <c r="U51" i="9" s="1"/>
  <c r="G27" i="5"/>
  <c r="Q34" i="1"/>
  <c r="U50" i="9" s="1"/>
  <c r="R41" i="1"/>
  <c r="V57" i="9" s="1"/>
  <c r="P39" i="1"/>
  <c r="P55" i="9" s="1"/>
  <c r="R40" i="1"/>
  <c r="V56" i="9" s="1"/>
  <c r="P38" i="1"/>
  <c r="P54" i="9" s="1"/>
  <c r="P37" i="1"/>
  <c r="P53" i="9" s="1"/>
  <c r="Q32" i="1"/>
  <c r="U48" i="9" s="1"/>
  <c r="R32" i="1"/>
  <c r="V48" i="9" s="1"/>
  <c r="Q29" i="1"/>
  <c r="U29" i="9" s="1"/>
  <c r="Q31" i="1"/>
  <c r="U47" i="9" s="1"/>
  <c r="Q28" i="1"/>
  <c r="U28" i="9" s="1"/>
  <c r="R30" i="1"/>
  <c r="V46" i="9" s="1"/>
  <c r="Q30" i="1"/>
  <c r="U46" i="9" s="1"/>
  <c r="E13" i="5"/>
  <c r="D13" i="5"/>
  <c r="E9" i="5"/>
  <c r="D9" i="5"/>
  <c r="P13" i="9"/>
  <c r="R13" i="1"/>
  <c r="V13" i="9" s="1"/>
  <c r="G19" i="5"/>
  <c r="R27" i="1"/>
  <c r="V27" i="9" s="1"/>
  <c r="Q27" i="1"/>
  <c r="U27" i="9" s="1"/>
  <c r="Q26" i="1"/>
  <c r="U26" i="9" s="1"/>
  <c r="Q25" i="1"/>
  <c r="U25" i="9" s="1"/>
  <c r="R25" i="1"/>
  <c r="V25" i="9" s="1"/>
  <c r="Q24" i="1"/>
  <c r="U24" i="9" s="1"/>
  <c r="R24" i="1"/>
  <c r="V24" i="9" s="1"/>
  <c r="R23" i="1"/>
  <c r="V23" i="9" s="1"/>
  <c r="P22" i="1"/>
  <c r="P22" i="9" s="1"/>
  <c r="Q22" i="1"/>
  <c r="U22" i="9" s="1"/>
  <c r="R22" i="1"/>
  <c r="V22" i="9" s="1"/>
  <c r="R21" i="1"/>
  <c r="V21" i="9" s="1"/>
  <c r="P21" i="1"/>
  <c r="P21" i="9" s="1"/>
  <c r="G13" i="5"/>
  <c r="Q18" i="1"/>
  <c r="U18" i="9" s="1"/>
  <c r="Q17" i="1"/>
  <c r="U17" i="9" s="1"/>
  <c r="Q16" i="1"/>
  <c r="U16" i="9" s="1"/>
  <c r="R16" i="1"/>
  <c r="V16" i="9" s="1"/>
  <c r="Q15" i="1"/>
  <c r="U15" i="9" s="1"/>
  <c r="P15" i="1"/>
  <c r="P15" i="9" s="1"/>
  <c r="G7" i="5"/>
  <c r="G6" i="5"/>
  <c r="U13" i="9"/>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R12" i="1"/>
  <c r="V12" i="9" s="1"/>
  <c r="P11" i="1"/>
  <c r="P11" i="9" s="1"/>
  <c r="G3" i="5"/>
  <c r="Q12" i="1"/>
  <c r="U12" i="9" s="1"/>
  <c r="Q11" i="1"/>
  <c r="U11" i="9" s="1"/>
  <c r="Q10" i="1"/>
  <c r="G4" i="5"/>
  <c r="Q23" i="1"/>
  <c r="U23" i="9" s="1"/>
  <c r="R19" i="1"/>
  <c r="V19" i="9" s="1"/>
  <c r="Q20" i="1"/>
  <c r="U20" i="9" s="1"/>
  <c r="R18" i="1"/>
  <c r="V18" i="9" s="1"/>
  <c r="Q19" i="1"/>
  <c r="U19" i="9" s="1"/>
  <c r="R17" i="1"/>
  <c r="V17" i="9" s="1"/>
  <c r="P16" i="1"/>
  <c r="P16" i="9" s="1"/>
  <c r="G12" i="5"/>
  <c r="Q14" i="1"/>
  <c r="U14" i="9" s="1"/>
  <c r="R14" i="1"/>
  <c r="V14" i="9" s="1"/>
  <c r="P20" i="1"/>
  <c r="P20" i="9" s="1"/>
  <c r="P19" i="1"/>
  <c r="P19" i="9" s="1"/>
  <c r="P23" i="1"/>
  <c r="P23" i="9" s="1"/>
  <c r="G21" i="5"/>
  <c r="P17" i="1"/>
  <c r="P17" i="9" s="1"/>
  <c r="P18" i="1"/>
  <c r="P18" i="9" s="1"/>
  <c r="P31" i="1"/>
  <c r="P47" i="9" s="1"/>
  <c r="P29" i="1"/>
  <c r="P29" i="9" s="1"/>
  <c r="G23" i="5"/>
  <c r="P30" i="1"/>
  <c r="P46" i="9" s="1"/>
  <c r="P28" i="1"/>
  <c r="P28" i="9" s="1"/>
  <c r="G24" i="5"/>
  <c r="G20" i="5"/>
  <c r="P27" i="1"/>
  <c r="P27" i="9" s="1"/>
  <c r="P26" i="1"/>
  <c r="P26" i="9" s="1"/>
  <c r="P25" i="1"/>
  <c r="P25" i="9" s="1"/>
  <c r="P24" i="1"/>
  <c r="P24" i="9" s="1"/>
  <c r="G18" i="5"/>
  <c r="G2" i="5"/>
  <c r="P10" i="1"/>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Q43" i="1" l="1"/>
  <c r="R43" i="1"/>
  <c r="P43" i="1"/>
  <c r="V31" i="9"/>
  <c r="V45" i="9" s="1"/>
  <c r="V59" i="9" s="1"/>
  <c r="O31" i="9"/>
  <c r="O45" i="9" s="1"/>
  <c r="O59" i="9" s="1"/>
  <c r="O30" i="9"/>
  <c r="O44" i="9" s="1"/>
  <c r="O58" i="9" s="1"/>
  <c r="Q42" i="1"/>
  <c r="P42" i="1"/>
  <c r="R42" i="1"/>
  <c r="P10" i="9"/>
  <c r="P31" i="9" s="1"/>
  <c r="P45" i="9" s="1"/>
  <c r="P59" i="9" s="1"/>
  <c r="U10" i="9"/>
  <c r="U31" i="9" s="1"/>
  <c r="U45" i="9" s="1"/>
  <c r="U59" i="9" s="1"/>
  <c r="F13" i="5"/>
  <c r="F9" i="5"/>
  <c r="U30" i="9" l="1"/>
  <c r="U44" i="9" s="1"/>
  <c r="U58" i="9" s="1"/>
  <c r="P30" i="9"/>
  <c r="P44" i="9" s="1"/>
  <c r="P58" i="9" s="1"/>
  <c r="O48" i="1"/>
  <c r="K48" i="1" s="1"/>
  <c r="M48" i="1" s="1"/>
  <c r="O49" i="1" l="1"/>
  <c r="K49" i="1" s="1"/>
  <c r="G48" i="1"/>
  <c r="I48" i="1" s="1"/>
  <c r="F48" i="1"/>
  <c r="V61" i="9"/>
  <c r="V63" i="9" s="1"/>
  <c r="N61" i="9"/>
  <c r="N63" i="9" s="1"/>
  <c r="E49" i="1" l="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charset val="1"/>
          </rPr>
          <t>Michael Jennings:</t>
        </r>
        <r>
          <rPr>
            <sz val="9"/>
            <color indexed="81"/>
            <rFont val="Tahoma"/>
            <charset val="1"/>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<sst xmlns="http://schemas.openxmlformats.org/spreadsheetml/2006/main" count="220" uniqueCount="145">
  <si>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</si>
  <si>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</si>
  <si>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</si>
  <si>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</si>
  <si>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</si>
  <si>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</si>
  <si>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</si>
  <si>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</si>
  <si>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</si>
  <si>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</si>
  <si>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</si>
  <si>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</si>
  <si>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</si>
  <si>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</si>
  <si>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</si>
  <si>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</si>
  <si>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</si>
  <si>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</si>
  <si>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</si>
  <si>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</si>
  <si>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</si>
  <si>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</si>
  <si>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</si>
  <si>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</si>
  <si>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</si>
  <si>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</si>
  <si>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</si>
  <si>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</si>
  <si>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</si>
  <si>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</si>
  <si>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</si>
  <si>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</si>
  <si>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</si>
  <si>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</si>
  <si>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</si>
  <si>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</si>
  <si>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</si>
  <si>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</si>
  <si>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</si>
  <si>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</si>
  <si>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</si>
  <si>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</si>
  <si>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</si>
  <si>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</si>
  <si>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</si>
  <si>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</si>
  <si>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</si>
  <si>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</si>
  <si>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</si>
  <si>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</si>
  <si>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</si>
  <si>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</si>
  <si>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</si>
  <si>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</si>
  <si>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</si>
  <si>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</si>
  <si>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</si>
  <si>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</si>
  <si>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</si>
  <si>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</si>
  <si>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</si>
  <si>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</si>
  <si>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</si>
  <si>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</si>
  <si>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</si>
  <si>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</si>
  <si>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</si>
  <si>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</si>
  <si>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</si>
  <si>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</si>
  <si>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</si>
  <si>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</si>
  <si>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</si>
  <si>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</si>
  <si>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</si>
  <si>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</si>
  <si>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</si>
  <si>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</si>
  <si>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</si>
  <si>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</si>
  <si>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</si>
  <si>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</si>
  <si>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</si>
  <si>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</si>
  <si>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</si>
  <si>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</si>
  <si>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</si>
  <si>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</si>
  <si>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</si>
  <si>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</si>
  <si>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</si>
  <si>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</si>
  <si>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</si>
  <si>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</si>
  <si>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</si>
  <si>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</si>
  <si>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</si>
  <si>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</si>
  <si>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</si>
  <si>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</si>
  <si>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</si>
  <si>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</si>
  <si>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</si>
  <si>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</si>
  <si>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</si>
  <si>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</si>
  <si>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</si>
  <si>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</si>
  <si>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</si>
  <si>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</si>
  <si>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</si>
  <si>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</si>
  <si>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</si>
  <si>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</si>
  <si>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</si>
  <si>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</si>
  <si>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</si>
  <si>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</si>
  <si>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</si>
  <si>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</si>
  <si>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</si>
  <si>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</si>
  <si>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</si>
  <si>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</si>
  <si>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</si>
  <si>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</si>
  <si>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</si>
  <si>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</si>
  <si>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</si>
  <si>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</si>
  <si>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</si>
  <si>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</si>
  <si>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</si>
  <si>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</si>
  <si>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</si>
  <si>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Instructions for use - Version 2.0.0</t>
  </si>
  <si>
    <t>F724 Launches B/F</t>
  </si>
  <si>
    <t>F725 Hours 
B/F</t>
  </si>
  <si>
    <t>F724 Entry Guide at the bottom of sheet</t>
  </si>
  <si>
    <t>Print Instructions</t>
  </si>
  <si>
    <t>File -&gt; Print</t>
  </si>
  <si>
    <t>Double sided flip on short side</t>
  </si>
  <si>
    <t xml:space="preserve">Print only active sheet </t>
  </si>
  <si>
    <t>2.0.1</t>
  </si>
  <si>
    <t>Fixed issue with hours CF
Moved hours BF to top of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</si>
</sst>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2"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ont>
    <font>
      <sz val="11"/>
      <color rgb="FFFF0000"/>
      <name val="Calibri"/>
      <family val="2"/>
      <scheme val="minor"/>
    </font>
    <font>
      <sz val="9"/>
      <color indexed="81"/>
      <name val="Tahoma"/>
      <charset val="1"/>
    </font>
    <font>
      <b/>
      <sz val="9"/>
      <color indexed="81"/>
      <name val="Tahoma"/>
      <charset val="1"/>
    </font>
    <font>
      <sz val="11"/>
      <color rgb="FF000000"/>
      <name val="Calibri"/>
      <family val="2"/>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theme="0" tint="-0.499984740745262"/>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style="thin">
        <color theme="0" tint="-0.499984740745262"/>
      </left>
      <right style="thin">
        <color theme="0" tint="-0.499984740745262"/>
      </right>
      <top/>
      <bottom style="medium">
        <color indexed="64"/>
      </bottom>
      <diagonal/>
    </border>
    <border>
      <left style="thin">
        <color theme="0" tint="-0.499984740745262"/>
      </left>
      <right style="medium">
        <color indexed="64"/>
      </right>
      <top/>
      <bottom style="medium">
        <color indexed="64"/>
      </bottom>
      <diagonal/>
    </border>
    <border>
      <left/>
      <right/>
      <top style="medium">
        <color indexed="64"/>
      </top>
      <bottom/>
      <diagonal/>
    </border>
    <border>
      <left style="medium">
        <color indexed="64"/>
      </left>
      <right style="medium">
        <color indexed="64"/>
      </right>
      <top style="thin">
        <color theme="0" tint="-0.499984740745262"/>
      </top>
      <bottom/>
      <diagonal/>
    </border>
    <border>
      <left style="medium">
        <color indexed="64"/>
      </left>
      <right style="medium">
        <color indexed="64"/>
      </right>
      <top style="medium">
        <color indexed="64"/>
      </top>
      <bottom style="thin">
        <color theme="0" tint="-0.499984740745262"/>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theme="0" tint="-0.499984740745262"/>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medium">
        <color indexed="64"/>
      </right>
      <top style="thin">
        <color indexed="64"/>
      </top>
      <bottom style="thin">
        <color theme="0" tint="-0.499984740745262"/>
      </bottom>
      <diagonal/>
    </border>
    <border>
      <left/>
      <right style="medium">
        <color indexed="64"/>
      </right>
      <top style="thin">
        <color indexed="64"/>
      </top>
      <bottom style="thin">
        <color theme="0" tint="-0.499984740745262"/>
      </bottom>
      <diagonal/>
    </border>
    <border>
      <left style="medium">
        <color indexed="64"/>
      </left>
      <right style="thin">
        <color indexed="64"/>
      </right>
      <top style="thin">
        <color indexed="64"/>
      </top>
      <bottom style="thin">
        <color theme="0" tint="-0.499984740745262"/>
      </bottom>
      <diagonal/>
    </border>
    <border>
      <left style="thin">
        <color indexed="64"/>
      </left>
      <right/>
      <top style="thin">
        <color indexed="64"/>
      </top>
      <bottom style="thin">
        <color theme="0" tint="-0.499984740745262"/>
      </bottom>
      <diagonal/>
    </border>
    <border>
      <left style="medium">
        <color indexed="64"/>
      </left>
      <right style="thin">
        <color theme="0" tint="-0.499984740745262"/>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theme="0" tint="-0.499984740745262"/>
      </bottom>
      <diagonal/>
    </border>
    <border>
      <left style="thin">
        <color indexed="64"/>
      </left>
      <right style="thin">
        <color indexed="64"/>
      </right>
      <top style="medium">
        <color indexed="64"/>
      </top>
      <bottom style="thin">
        <color theme="0" tint="-0.499984740745262"/>
      </bottom>
      <diagonal/>
    </border>
    <border>
      <left style="thin">
        <color indexed="64"/>
      </left>
      <right style="medium">
        <color indexed="64"/>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right style="thin">
        <color indexed="64"/>
      </right>
      <top style="medium">
        <color indexed="64"/>
      </top>
      <bottom style="thin">
        <color theme="0" tint="-0.499984740745262"/>
      </bottom>
      <diagonal/>
    </border>
    <border>
      <left style="thin">
        <color indexed="64"/>
      </left>
      <right/>
      <top style="medium">
        <color indexed="64"/>
      </top>
      <bottom style="thin">
        <color theme="0" tint="-0.499984740745262"/>
      </bottom>
      <diagonal/>
    </border>
    <border>
      <left style="medium">
        <color indexed="64"/>
      </left>
      <right style="medium">
        <color indexed="64"/>
      </right>
      <top/>
      <bottom style="thin">
        <color indexed="64"/>
      </bottom>
      <diagonal/>
    </border>
  </borders>
  <cellStyleXfs count="2">
    <xf numFmtId="0" fontId="0" fillId="0" borderId="0"/>
    <xf numFmtId="0" fontId="11" fillId="0" borderId="0" applyNumberFormat="0" applyFill="0" applyBorder="0" applyAlignment="0" applyProtection="0"/>
  </cellStyleXfs>
  <cellXfs count="358">
    <xf numFmtId="0" fontId="0" fillId="0" borderId="0" xfId="0"/>
    <xf numFmtId="0" fontId="1" fillId="0" borderId="11" xfId="0" applyFont="1" applyBorder="1" applyAlignment="1">
      <alignment horizontal="center" vertical="center"/>
    </xf>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9" fillId="0" borderId="0" xfId="0" applyFont="1" applyAlignment="1">
      <alignment wrapText="1"/>
    </xf>
    <xf numFmtId="0" fontId="20" fillId="0" borderId="0" xfId="0" applyFont="1"/>
    <xf numFmtId="0" fontId="21" fillId="0" borderId="0" xfId="0" applyFont="1"/>
    <xf numFmtId="0" fontId="23" fillId="0" borderId="0" xfId="0" applyFont="1"/>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xf>
    <xf numFmtId="0" fontId="22" fillId="3" borderId="8"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16"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10" xfId="0" applyFont="1" applyFill="1" applyBorder="1" applyAlignment="1">
      <alignment horizontal="center" vertical="center"/>
    </xf>
    <xf numFmtId="0" fontId="22" fillId="3" borderId="11" xfId="0" applyFont="1" applyFill="1" applyBorder="1" applyAlignment="1">
      <alignment horizontal="center" vertical="center"/>
    </xf>
    <xf numFmtId="0" fontId="22" fillId="3" borderId="1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17" xfId="0" applyFont="1" applyFill="1" applyBorder="1" applyAlignment="1">
      <alignment horizontal="center" vertical="center"/>
    </xf>
    <xf numFmtId="0" fontId="22" fillId="3" borderId="46" xfId="0" applyFont="1" applyFill="1" applyBorder="1" applyAlignment="1">
      <alignment vertical="center"/>
    </xf>
    <xf numFmtId="0" fontId="22" fillId="3" borderId="2" xfId="0" applyFont="1" applyFill="1" applyBorder="1" applyAlignment="1">
      <alignment horizontal="right" vertical="center" wrapText="1"/>
    </xf>
    <xf numFmtId="0" fontId="22" fillId="0" borderId="0" xfId="0" applyFont="1" applyAlignment="1">
      <alignment horizontal="center" vertical="center"/>
    </xf>
    <xf numFmtId="0" fontId="22" fillId="3" borderId="40"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0" fillId="0" borderId="0" xfId="0" applyAlignment="1">
      <alignment vertical="center"/>
    </xf>
    <xf numFmtId="0" fontId="1" fillId="0" borderId="40" xfId="0" applyFont="1" applyBorder="1" applyAlignment="1">
      <alignment horizontal="left" vertical="center"/>
    </xf>
    <xf numFmtId="0" fontId="1" fillId="0" borderId="40" xfId="0" applyFont="1" applyBorder="1" applyAlignment="1">
      <alignment horizontal="center" vertical="center"/>
    </xf>
    <xf numFmtId="164" fontId="1" fillId="0" borderId="56" xfId="0" applyNumberFormat="1" applyFont="1" applyBorder="1" applyAlignment="1">
      <alignment horizontal="center" vertical="center"/>
    </xf>
    <xf numFmtId="164" fontId="1" fillId="0" borderId="40"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75" xfId="0" applyNumberFormat="1" applyFont="1" applyBorder="1" applyAlignment="1">
      <alignment horizontal="center" vertical="center"/>
    </xf>
    <xf numFmtId="165" fontId="1" fillId="0" borderId="77" xfId="0" applyNumberFormat="1" applyFont="1" applyBorder="1" applyAlignment="1">
      <alignment horizontal="center" vertical="center"/>
    </xf>
    <xf numFmtId="0" fontId="1" fillId="0" borderId="53" xfId="0" applyFont="1" applyBorder="1" applyAlignment="1">
      <alignment horizontal="center" vertical="center"/>
    </xf>
    <xf numFmtId="0" fontId="1" fillId="0" borderId="69" xfId="0" applyFont="1" applyBorder="1" applyAlignment="1">
      <alignment horizontal="center" vertical="center"/>
    </xf>
    <xf numFmtId="0" fontId="1" fillId="0" borderId="76" xfId="0" applyFont="1" applyBorder="1" applyAlignment="1">
      <alignment horizontal="center" vertical="center"/>
    </xf>
    <xf numFmtId="0" fontId="1" fillId="0" borderId="73" xfId="0" applyFont="1" applyBorder="1" applyAlignment="1">
      <alignment horizontal="left" vertical="center"/>
    </xf>
    <xf numFmtId="0" fontId="1" fillId="0" borderId="73" xfId="0" applyFont="1" applyBorder="1" applyAlignment="1">
      <alignment horizontal="center" vertical="center"/>
    </xf>
    <xf numFmtId="164" fontId="1" fillId="0" borderId="78" xfId="0" applyNumberFormat="1" applyFont="1" applyBorder="1" applyAlignment="1">
      <alignment horizontal="center" vertical="center"/>
    </xf>
    <xf numFmtId="164" fontId="1" fillId="0" borderId="73" xfId="0" applyNumberFormat="1" applyFont="1" applyBorder="1" applyAlignment="1">
      <alignment horizontal="center" vertical="center"/>
    </xf>
    <xf numFmtId="165"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0" xfId="0" applyFont="1" applyBorder="1" applyAlignment="1">
      <alignment horizontal="center" vertical="center"/>
    </xf>
    <xf numFmtId="0" fontId="1" fillId="0" borderId="82" xfId="0" applyFont="1" applyBorder="1" applyAlignment="1">
      <alignment horizontal="center" vertical="center"/>
    </xf>
    <xf numFmtId="165" fontId="1" fillId="0" borderId="54" xfId="0" applyNumberFormat="1" applyFont="1" applyBorder="1" applyAlignment="1">
      <alignment horizontal="center" vertical="center"/>
    </xf>
    <xf numFmtId="165" fontId="1" fillId="0" borderId="84" xfId="0" applyNumberFormat="1" applyFont="1" applyBorder="1" applyAlignment="1">
      <alignment horizontal="center" vertical="center"/>
    </xf>
    <xf numFmtId="0" fontId="22" fillId="3" borderId="44" xfId="0" applyFont="1" applyFill="1" applyBorder="1" applyAlignment="1">
      <alignment vertical="center"/>
    </xf>
    <xf numFmtId="0" fontId="1" fillId="0" borderId="31" xfId="0" applyFont="1" applyBorder="1" applyAlignment="1">
      <alignment horizontal="left" vertical="center"/>
    </xf>
    <xf numFmtId="0" fontId="1" fillId="0" borderId="31" xfId="0" applyFont="1" applyBorder="1" applyAlignment="1">
      <alignment horizontal="center" vertical="center"/>
    </xf>
    <xf numFmtId="164" fontId="1" fillId="0" borderId="20" xfId="0" applyNumberFormat="1" applyFont="1" applyBorder="1" applyAlignment="1">
      <alignment horizontal="center" vertical="center"/>
    </xf>
    <xf numFmtId="164" fontId="1" fillId="0" borderId="31" xfId="0" applyNumberFormat="1" applyFont="1" applyBorder="1" applyAlignment="1">
      <alignment horizontal="center" vertical="center"/>
    </xf>
    <xf numFmtId="165" fontId="1" fillId="0" borderId="23" xfId="0" applyNumberFormat="1" applyFont="1" applyBorder="1" applyAlignment="1">
      <alignment horizontal="center" vertical="center"/>
    </xf>
    <xf numFmtId="165" fontId="1" fillId="0" borderId="11" xfId="0" applyNumberFormat="1" applyFont="1" applyBorder="1" applyAlignment="1">
      <alignment horizontal="center" vertical="center"/>
    </xf>
    <xf numFmtId="165" fontId="1" fillId="0" borderId="17" xfId="0" applyNumberFormat="1" applyFont="1" applyBorder="1" applyAlignment="1">
      <alignment horizontal="center" vertical="center"/>
    </xf>
    <xf numFmtId="165" fontId="1" fillId="0" borderId="10" xfId="0" applyNumberFormat="1" applyFont="1" applyBorder="1" applyAlignment="1">
      <alignment horizontal="center" vertical="center"/>
    </xf>
    <xf numFmtId="165" fontId="1" fillId="0" borderId="12" xfId="0" applyNumberFormat="1" applyFont="1" applyBorder="1" applyAlignment="1">
      <alignment horizontal="center" vertical="center"/>
    </xf>
    <xf numFmtId="165" fontId="1" fillId="0" borderId="31" xfId="0" applyNumberFormat="1" applyFont="1" applyBorder="1" applyAlignment="1">
      <alignment horizontal="center" vertical="center"/>
    </xf>
    <xf numFmtId="0" fontId="1" fillId="0" borderId="27" xfId="0" applyFont="1" applyBorder="1" applyAlignment="1">
      <alignment horizontal="center" vertical="center"/>
    </xf>
    <xf numFmtId="0" fontId="25" fillId="0" borderId="0" xfId="0" applyFont="1" applyAlignment="1">
      <alignment horizontal="left" vertical="center"/>
    </xf>
    <xf numFmtId="0" fontId="26" fillId="0" borderId="0" xfId="0" applyFont="1" applyAlignment="1">
      <alignment vertical="center"/>
    </xf>
    <xf numFmtId="0" fontId="27" fillId="0" borderId="0" xfId="0" applyFont="1" applyAlignment="1">
      <alignment vertical="center"/>
    </xf>
    <xf numFmtId="0" fontId="25" fillId="0" borderId="0" xfId="0" applyFont="1" applyAlignment="1">
      <alignment vertical="center"/>
    </xf>
    <xf numFmtId="0" fontId="25" fillId="0" borderId="0" xfId="0" applyFont="1" applyAlignment="1">
      <alignment vertical="center" wrapText="1"/>
    </xf>
    <xf numFmtId="0" fontId="28" fillId="0" borderId="7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30" xfId="0" applyFont="1" applyBorder="1" applyAlignment="1">
      <alignment horizontal="center" vertical="center"/>
    </xf>
    <xf numFmtId="0" fontId="28" fillId="0" borderId="40" xfId="0" applyFont="1" applyBorder="1" applyAlignment="1">
      <alignment horizontal="center" vertical="center"/>
    </xf>
    <xf numFmtId="0" fontId="28" fillId="0" borderId="31" xfId="0" applyFont="1" applyBorder="1" applyAlignment="1">
      <alignment horizontal="center" vertical="center"/>
    </xf>
    <xf numFmtId="0" fontId="28" fillId="0" borderId="10" xfId="0" applyFont="1" applyBorder="1" applyAlignment="1">
      <alignment horizontal="center" vertical="center"/>
    </xf>
    <xf numFmtId="0" fontId="28" fillId="0" borderId="12" xfId="0" applyFont="1" applyBorder="1" applyAlignment="1">
      <alignment horizontal="center" vertical="center"/>
    </xf>
    <xf numFmtId="0" fontId="1" fillId="0" borderId="0" xfId="0" applyFont="1" applyAlignment="1">
      <alignment horizontal="center" vertical="center"/>
    </xf>
    <xf numFmtId="165" fontId="1" fillId="0" borderId="87" xfId="0" applyNumberFormat="1" applyFont="1" applyBorder="1" applyAlignment="1">
      <alignment horizontal="center" vertical="center"/>
    </xf>
    <xf numFmtId="165" fontId="1" fillId="0" borderId="88" xfId="0" applyNumberFormat="1" applyFont="1" applyBorder="1" applyAlignment="1">
      <alignment horizontal="center" vertical="center"/>
    </xf>
    <xf numFmtId="0" fontId="1" fillId="0" borderId="88" xfId="0" applyFont="1" applyBorder="1" applyAlignment="1">
      <alignment horizontal="center" vertical="center"/>
    </xf>
    <xf numFmtId="165" fontId="1" fillId="0" borderId="89" xfId="0" applyNumberFormat="1" applyFont="1" applyBorder="1" applyAlignment="1">
      <alignment horizontal="center" vertical="center"/>
    </xf>
    <xf numFmtId="0" fontId="1" fillId="0" borderId="70" xfId="0" applyFont="1" applyBorder="1" applyAlignment="1">
      <alignment horizontal="left" vertical="center"/>
    </xf>
    <xf numFmtId="0" fontId="1" fillId="0" borderId="70" xfId="0" applyFont="1" applyBorder="1" applyAlignment="1">
      <alignment horizontal="center" vertical="center"/>
    </xf>
    <xf numFmtId="164" fontId="1" fillId="0" borderId="90" xfId="0" applyNumberFormat="1" applyFont="1" applyBorder="1" applyAlignment="1">
      <alignment horizontal="center" vertical="center"/>
    </xf>
    <xf numFmtId="164" fontId="1" fillId="0" borderId="70" xfId="0" applyNumberFormat="1" applyFont="1" applyBorder="1" applyAlignment="1">
      <alignment horizontal="center" vertical="center"/>
    </xf>
    <xf numFmtId="165" fontId="1" fillId="0" borderId="91" xfId="0" applyNumberFormat="1" applyFont="1" applyBorder="1" applyAlignment="1">
      <alignment horizontal="center" vertical="center"/>
    </xf>
    <xf numFmtId="165" fontId="1" fillId="0" borderId="92" xfId="0" applyNumberFormat="1" applyFont="1" applyBorder="1" applyAlignment="1">
      <alignment horizontal="center" vertical="center"/>
    </xf>
    <xf numFmtId="0" fontId="28" fillId="0" borderId="5" xfId="0" applyFont="1" applyBorder="1" applyAlignment="1">
      <alignment horizontal="center" vertical="center"/>
    </xf>
    <xf numFmtId="0" fontId="28" fillId="0" borderId="7" xfId="0" applyFont="1" applyBorder="1" applyAlignment="1">
      <alignment horizontal="center" vertical="center"/>
    </xf>
    <xf numFmtId="165" fontId="1" fillId="0" borderId="70" xfId="0" applyNumberFormat="1" applyFont="1" applyBorder="1" applyAlignment="1">
      <alignment horizontal="center" vertical="center"/>
    </xf>
    <xf numFmtId="0" fontId="1" fillId="0" borderId="61" xfId="0" applyFont="1" applyBorder="1" applyAlignment="1">
      <alignment horizontal="center" vertical="center"/>
    </xf>
    <xf numFmtId="0" fontId="1" fillId="0" borderId="62" xfId="0" applyFont="1" applyBorder="1" applyAlignment="1">
      <alignment horizontal="center" vertical="center"/>
    </xf>
    <xf numFmtId="165" fontId="1" fillId="0" borderId="85" xfId="0" applyNumberFormat="1"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42" xfId="0" applyFont="1" applyBorder="1" applyAlignment="1">
      <alignment horizontal="center" vertical="center"/>
    </xf>
    <xf numFmtId="0" fontId="1" fillId="0" borderId="65"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165" fontId="1" fillId="0" borderId="66" xfId="0" applyNumberFormat="1" applyFont="1" applyBorder="1" applyAlignment="1">
      <alignment horizontal="center" vertical="center"/>
    </xf>
    <xf numFmtId="165" fontId="1" fillId="0" borderId="67" xfId="0" applyNumberFormat="1" applyFont="1" applyBorder="1" applyAlignment="1">
      <alignment horizontal="center" vertical="center"/>
    </xf>
    <xf numFmtId="165" fontId="1" fillId="0" borderId="0" xfId="0" applyNumberFormat="1" applyFont="1" applyAlignment="1">
      <alignment horizontal="center" vertical="center"/>
    </xf>
    <xf numFmtId="165" fontId="1" fillId="0" borderId="42" xfId="0" applyNumberFormat="1" applyFont="1" applyBorder="1" applyAlignment="1">
      <alignment horizontal="center" vertical="center"/>
    </xf>
    <xf numFmtId="165" fontId="1" fillId="0" borderId="65" xfId="0" applyNumberFormat="1" applyFont="1" applyBorder="1" applyAlignment="1">
      <alignment horizontal="center" vertical="center"/>
    </xf>
    <xf numFmtId="0" fontId="2" fillId="0" borderId="0" xfId="0" applyFont="1"/>
    <xf numFmtId="0" fontId="26" fillId="0" borderId="0" xfId="0" applyFont="1" applyAlignment="1">
      <alignment horizontal="center" vertical="center"/>
    </xf>
    <xf numFmtId="167" fontId="26" fillId="0" borderId="0" xfId="0" applyNumberFormat="1" applyFont="1" applyAlignment="1">
      <alignment vertical="center"/>
    </xf>
    <xf numFmtId="0" fontId="25" fillId="0" borderId="0" xfId="0" applyFont="1" applyAlignment="1">
      <alignment horizontal="left"/>
    </xf>
    <xf numFmtId="0" fontId="26" fillId="0" borderId="0" xfId="0" applyFont="1" applyAlignment="1">
      <alignment horizontal="center"/>
    </xf>
    <xf numFmtId="0" fontId="26" fillId="0" borderId="0" xfId="0" applyFont="1"/>
    <xf numFmtId="0" fontId="27" fillId="0" borderId="0" xfId="0" applyFont="1"/>
    <xf numFmtId="0" fontId="28" fillId="0" borderId="16" xfId="0" applyFont="1" applyBorder="1" applyAlignment="1">
      <alignment horizontal="center" vertical="center"/>
    </xf>
    <xf numFmtId="0" fontId="28" fillId="0" borderId="54" xfId="0" applyFont="1" applyBorder="1" applyAlignment="1">
      <alignment horizontal="center" vertical="center"/>
    </xf>
    <xf numFmtId="0" fontId="28" fillId="0" borderId="17" xfId="0" applyFont="1" applyBorder="1" applyAlignment="1">
      <alignment horizontal="center" vertical="center"/>
    </xf>
    <xf numFmtId="165" fontId="1" fillId="0" borderId="30" xfId="0" applyNumberFormat="1" applyFont="1" applyBorder="1" applyAlignment="1">
      <alignment horizontal="center" vertical="center"/>
    </xf>
    <xf numFmtId="0" fontId="1" fillId="4" borderId="21" xfId="0" applyFont="1" applyFill="1" applyBorder="1" applyProtection="1">
      <protection locked="0"/>
    </xf>
    <xf numFmtId="0" fontId="1" fillId="4" borderId="6" xfId="0" applyFont="1" applyFill="1" applyBorder="1" applyProtection="1">
      <protection locked="0"/>
    </xf>
    <xf numFmtId="0" fontId="1" fillId="4" borderId="7" xfId="0" applyFont="1" applyFill="1" applyBorder="1" applyAlignment="1" applyProtection="1">
      <alignment horizontal="center"/>
      <protection locked="0"/>
    </xf>
    <xf numFmtId="20" fontId="1" fillId="4" borderId="19" xfId="0" applyNumberFormat="1" applyFont="1" applyFill="1" applyBorder="1" applyAlignment="1" applyProtection="1">
      <alignment horizontal="center"/>
      <protection locked="0"/>
    </xf>
    <xf numFmtId="0" fontId="1" fillId="4" borderId="1" xfId="0" applyFont="1" applyFill="1" applyBorder="1" applyProtection="1">
      <protection locked="0"/>
    </xf>
    <xf numFmtId="0" fontId="1" fillId="4" borderId="9" xfId="0" applyFont="1" applyFill="1" applyBorder="1" applyAlignment="1" applyProtection="1">
      <alignment horizontal="center"/>
      <protection locked="0"/>
    </xf>
    <xf numFmtId="20" fontId="1" fillId="4" borderId="38" xfId="0" applyNumberFormat="1" applyFont="1" applyFill="1" applyBorder="1" applyAlignment="1" applyProtection="1">
      <alignment horizontal="center"/>
      <protection locked="0"/>
    </xf>
    <xf numFmtId="0" fontId="1" fillId="4" borderId="11" xfId="0" applyFont="1" applyFill="1" applyBorder="1" applyProtection="1">
      <protection locked="0"/>
    </xf>
    <xf numFmtId="0" fontId="1" fillId="4" borderId="12" xfId="0" applyFont="1" applyFill="1" applyBorder="1" applyAlignment="1" applyProtection="1">
      <alignment horizontal="center"/>
      <protection locked="0"/>
    </xf>
    <xf numFmtId="20" fontId="1" fillId="4" borderId="20" xfId="0" applyNumberFormat="1" applyFont="1" applyFill="1" applyBorder="1" applyAlignment="1" applyProtection="1">
      <alignment horizontal="center"/>
      <protection locked="0"/>
    </xf>
    <xf numFmtId="0" fontId="1" fillId="4" borderId="22" xfId="0" applyFont="1" applyFill="1" applyBorder="1" applyProtection="1">
      <protection locked="0"/>
    </xf>
    <xf numFmtId="0" fontId="1" fillId="4" borderId="23" xfId="0" applyFont="1" applyFill="1" applyBorder="1" applyProtection="1">
      <protection locked="0"/>
    </xf>
    <xf numFmtId="0" fontId="1" fillId="4" borderId="24" xfId="0" applyFont="1" applyFill="1" applyBorder="1" applyProtection="1">
      <protection locked="0"/>
    </xf>
    <xf numFmtId="0" fontId="1" fillId="4" borderId="4" xfId="0" applyFont="1" applyFill="1" applyBorder="1" applyProtection="1">
      <protection locked="0"/>
    </xf>
    <xf numFmtId="0" fontId="1" fillId="4" borderId="14" xfId="0" applyFont="1" applyFill="1" applyBorder="1" applyAlignment="1" applyProtection="1">
      <alignment horizontal="center"/>
      <protection locked="0"/>
    </xf>
    <xf numFmtId="20" fontId="1" fillId="4" borderId="37" xfId="0" applyNumberFormat="1" applyFont="1" applyFill="1" applyBorder="1" applyAlignment="1" applyProtection="1">
      <alignment horizontal="center"/>
      <protection locked="0"/>
    </xf>
    <xf numFmtId="0" fontId="1" fillId="4" borderId="5"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0" xfId="0" applyFont="1" applyFill="1" applyBorder="1" applyAlignment="1" applyProtection="1">
      <alignment horizontal="center"/>
      <protection locked="0"/>
    </xf>
    <xf numFmtId="0" fontId="1" fillId="4" borderId="13" xfId="0" applyFont="1" applyFill="1" applyBorder="1" applyAlignment="1" applyProtection="1">
      <alignment horizontal="center"/>
      <protection locked="0"/>
    </xf>
    <xf numFmtId="0" fontId="1" fillId="4" borderId="29" xfId="0" applyFont="1" applyFill="1" applyBorder="1" applyAlignment="1" applyProtection="1">
      <alignment horizontal="center" vertical="center"/>
      <protection locked="0"/>
    </xf>
    <xf numFmtId="0" fontId="1" fillId="4" borderId="30" xfId="0" applyFont="1" applyFill="1" applyBorder="1" applyAlignment="1" applyProtection="1">
      <alignment horizontal="center" vertical="center"/>
      <protection locked="0"/>
    </xf>
    <xf numFmtId="0" fontId="1" fillId="4" borderId="31" xfId="0" applyFont="1" applyFill="1" applyBorder="1" applyAlignment="1" applyProtection="1">
      <alignment horizontal="center" vertical="center"/>
      <protection locked="0"/>
    </xf>
    <xf numFmtId="0" fontId="1" fillId="4" borderId="93" xfId="0" applyFont="1" applyFill="1" applyBorder="1" applyAlignment="1" applyProtection="1">
      <alignment horizontal="center" vertical="center"/>
      <protection locked="0"/>
    </xf>
    <xf numFmtId="0" fontId="1" fillId="2" borderId="0" xfId="0" applyFont="1" applyFill="1" applyProtection="1">
      <protection locked="0"/>
    </xf>
    <xf numFmtId="0" fontId="30" fillId="4" borderId="47"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32"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30" fillId="0" borderId="0" xfId="0" applyNumberFormat="1" applyFont="1" applyAlignment="1">
      <alignment vertical="center" wrapText="1"/>
    </xf>
    <xf numFmtId="165" fontId="30" fillId="0" borderId="0" xfId="0" applyNumberFormat="1" applyFont="1" applyAlignment="1">
      <alignment horizontal="center" vertical="center" wrapText="1"/>
    </xf>
    <xf numFmtId="0" fontId="30" fillId="0" borderId="0" xfId="0" applyFont="1" applyAlignment="1">
      <alignment vertical="center" wrapText="1"/>
    </xf>
    <xf numFmtId="0" fontId="1" fillId="0" borderId="0" xfId="0" applyFont="1" applyAlignment="1">
      <alignment vertical="center"/>
    </xf>
    <xf numFmtId="0" fontId="1" fillId="0" borderId="53" xfId="0" applyFont="1" applyBorder="1" applyAlignment="1">
      <alignment horizontal="center" vertical="center" wrapText="1"/>
    </xf>
    <xf numFmtId="0" fontId="1" fillId="0" borderId="53" xfId="0" applyFont="1" applyBorder="1" applyAlignment="1">
      <alignment vertical="center" wrapText="1"/>
    </xf>
    <xf numFmtId="0" fontId="1" fillId="0" borderId="75" xfId="0" applyFont="1" applyBorder="1" applyAlignment="1">
      <alignment vertical="center"/>
    </xf>
    <xf numFmtId="0" fontId="1" fillId="0" borderId="40" xfId="0" applyFont="1" applyBorder="1" applyAlignment="1">
      <alignment vertical="center" wrapText="1"/>
    </xf>
    <xf numFmtId="0" fontId="1" fillId="0" borderId="52" xfId="0" applyFont="1" applyBorder="1" applyAlignment="1">
      <alignment horizontal="center" vertical="center" wrapText="1"/>
    </xf>
    <xf numFmtId="0" fontId="1" fillId="0" borderId="52" xfId="0" applyFont="1" applyBorder="1" applyAlignment="1">
      <alignment vertical="center" wrapText="1"/>
    </xf>
    <xf numFmtId="0" fontId="1" fillId="0" borderId="55" xfId="0" applyFont="1" applyBorder="1" applyAlignment="1">
      <alignment vertical="center"/>
    </xf>
    <xf numFmtId="0" fontId="1" fillId="0" borderId="41" xfId="0" applyFont="1" applyBorder="1" applyAlignment="1">
      <alignment vertical="center" wrapText="1"/>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1" fillId="0" borderId="16" xfId="0" applyFont="1" applyBorder="1" applyAlignment="1">
      <alignment horizontal="center"/>
    </xf>
    <xf numFmtId="0" fontId="1" fillId="0" borderId="49" xfId="0" applyFont="1" applyBorder="1" applyAlignment="1">
      <alignment horizontal="center" vertical="center" wrapText="1"/>
    </xf>
    <xf numFmtId="0" fontId="1" fillId="0" borderId="50" xfId="0" applyFont="1" applyBorder="1" applyAlignment="1">
      <alignment horizontal="center" vertical="center"/>
    </xf>
    <xf numFmtId="0" fontId="1" fillId="0" borderId="42" xfId="0" applyFont="1" applyBorder="1" applyAlignment="1">
      <alignment horizontal="center" vertical="center" wrapText="1"/>
    </xf>
    <xf numFmtId="0" fontId="1" fillId="0" borderId="33" xfId="0" applyFont="1" applyBorder="1" applyAlignment="1">
      <alignment horizontal="center"/>
    </xf>
    <xf numFmtId="0" fontId="1" fillId="0" borderId="3" xfId="0" applyFont="1" applyBorder="1" applyAlignment="1">
      <alignment horizontal="center"/>
    </xf>
    <xf numFmtId="0" fontId="1" fillId="0" borderId="35" xfId="0" applyFont="1" applyBorder="1" applyAlignment="1">
      <alignment horizontal="center"/>
    </xf>
    <xf numFmtId="0" fontId="1" fillId="0" borderId="34" xfId="0" applyFont="1" applyBorder="1" applyAlignment="1">
      <alignment horizontal="center"/>
    </xf>
    <xf numFmtId="0" fontId="1" fillId="0" borderId="5" xfId="0"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7" xfId="0" applyNumberFormat="1" applyFont="1" applyBorder="1" applyAlignment="1">
      <alignment horizontal="center"/>
    </xf>
    <xf numFmtId="165" fontId="1" fillId="0" borderId="15" xfId="0" applyNumberFormat="1" applyFont="1" applyBorder="1" applyAlignment="1">
      <alignment horizontal="center"/>
    </xf>
    <xf numFmtId="165" fontId="1" fillId="0" borderId="19" xfId="0" applyNumberFormat="1" applyFont="1" applyBorder="1" applyAlignment="1">
      <alignment horizontal="center"/>
    </xf>
    <xf numFmtId="0" fontId="1" fillId="0" borderId="19" xfId="0" applyFont="1" applyBorder="1" applyAlignment="1">
      <alignment horizontal="center"/>
    </xf>
    <xf numFmtId="0" fontId="5" fillId="0" borderId="25" xfId="0" applyFont="1" applyBorder="1" applyAlignment="1">
      <alignment horizontal="center"/>
    </xf>
    <xf numFmtId="165" fontId="1" fillId="0" borderId="8" xfId="0" applyNumberFormat="1" applyFont="1" applyBorder="1" applyAlignment="1">
      <alignment horizontal="center"/>
    </xf>
    <xf numFmtId="165" fontId="1" fillId="0" borderId="1" xfId="0" applyNumberFormat="1" applyFont="1" applyBorder="1" applyAlignment="1">
      <alignment horizontal="center"/>
    </xf>
    <xf numFmtId="165" fontId="1" fillId="0" borderId="9" xfId="0" applyNumberFormat="1" applyFont="1" applyBorder="1" applyAlignment="1">
      <alignment horizontal="center"/>
    </xf>
    <xf numFmtId="165" fontId="1" fillId="0" borderId="18" xfId="0" applyNumberFormat="1" applyFont="1" applyBorder="1" applyAlignment="1">
      <alignment horizontal="center"/>
    </xf>
    <xf numFmtId="165" fontId="1" fillId="0" borderId="38" xfId="0" applyNumberFormat="1" applyFont="1" applyBorder="1" applyAlignment="1">
      <alignment horizontal="center"/>
    </xf>
    <xf numFmtId="0" fontId="1" fillId="0" borderId="38" xfId="0" applyFont="1" applyBorder="1" applyAlignment="1">
      <alignment horizontal="center"/>
    </xf>
    <xf numFmtId="0" fontId="5" fillId="0" borderId="26" xfId="0" applyFont="1" applyBorder="1" applyAlignment="1">
      <alignment horizontal="center"/>
    </xf>
    <xf numFmtId="165" fontId="1" fillId="0" borderId="16" xfId="0" applyNumberFormat="1" applyFont="1" applyBorder="1" applyAlignment="1">
      <alignment horizontal="center"/>
    </xf>
    <xf numFmtId="0" fontId="1" fillId="0" borderId="10" xfId="0"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2" xfId="0" applyNumberFormat="1" applyFont="1" applyBorder="1" applyAlignment="1">
      <alignment horizontal="center"/>
    </xf>
    <xf numFmtId="165" fontId="1" fillId="0" borderId="17" xfId="0" applyNumberFormat="1" applyFont="1" applyBorder="1" applyAlignment="1">
      <alignment horizontal="center"/>
    </xf>
    <xf numFmtId="165" fontId="1" fillId="0" borderId="20" xfId="0" applyNumberFormat="1" applyFont="1" applyBorder="1" applyAlignment="1">
      <alignment horizontal="center"/>
    </xf>
    <xf numFmtId="0" fontId="1" fillId="0" borderId="31" xfId="0" applyFont="1" applyBorder="1" applyAlignment="1">
      <alignment horizontal="center"/>
    </xf>
    <xf numFmtId="0" fontId="5" fillId="0" borderId="27" xfId="0" applyFont="1" applyBorder="1" applyAlignment="1">
      <alignment horizontal="center"/>
    </xf>
    <xf numFmtId="0" fontId="1" fillId="0" borderId="56" xfId="0" applyFont="1" applyBorder="1" applyAlignment="1">
      <alignment horizontal="center"/>
    </xf>
    <xf numFmtId="0" fontId="1" fillId="0" borderId="20" xfId="0" applyFont="1" applyBorder="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0" fontId="1" fillId="0" borderId="93" xfId="0" applyFont="1" applyBorder="1" applyAlignment="1">
      <alignment horizontal="center"/>
    </xf>
    <xf numFmtId="165" fontId="1" fillId="0" borderId="13" xfId="0" applyNumberFormat="1" applyFont="1" applyBorder="1" applyAlignment="1">
      <alignment horizontal="center"/>
    </xf>
    <xf numFmtId="165" fontId="1" fillId="0" borderId="4" xfId="0" applyNumberFormat="1" applyFont="1" applyBorder="1" applyAlignment="1">
      <alignment horizontal="center"/>
    </xf>
    <xf numFmtId="165" fontId="1" fillId="0" borderId="14" xfId="0" applyNumberFormat="1" applyFont="1" applyBorder="1" applyAlignment="1">
      <alignment horizontal="center"/>
    </xf>
    <xf numFmtId="165" fontId="1" fillId="0" borderId="37" xfId="0" applyNumberFormat="1" applyFont="1" applyBorder="1" applyAlignment="1">
      <alignment horizontal="center"/>
    </xf>
    <xf numFmtId="0" fontId="1" fillId="0" borderId="37" xfId="0" applyFont="1" applyBorder="1" applyAlignment="1">
      <alignment horizontal="center"/>
    </xf>
    <xf numFmtId="0" fontId="5" fillId="0" borderId="28" xfId="0" applyFont="1" applyBorder="1" applyAlignment="1">
      <alignment horizontal="center"/>
    </xf>
    <xf numFmtId="164" fontId="4" fillId="0" borderId="13"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18" xfId="0" applyNumberFormat="1" applyFont="1" applyBorder="1" applyAlignment="1">
      <alignment horizontal="center" vertical="center"/>
    </xf>
    <xf numFmtId="164" fontId="4" fillId="0" borderId="14" xfId="0" applyNumberFormat="1" applyFont="1" applyBorder="1" applyAlignment="1">
      <alignment horizontal="center" vertical="center"/>
    </xf>
    <xf numFmtId="164" fontId="4" fillId="0" borderId="0" xfId="0" applyNumberFormat="1" applyFont="1" applyAlignment="1">
      <alignment horizontal="center" vertical="center"/>
    </xf>
    <xf numFmtId="164" fontId="4" fillId="0" borderId="93" xfId="0" applyNumberFormat="1" applyFont="1" applyBorder="1" applyAlignment="1">
      <alignment horizontal="center" vertical="center"/>
    </xf>
    <xf numFmtId="165" fontId="1" fillId="0" borderId="48" xfId="0" applyNumberFormat="1" applyFont="1" applyBorder="1" applyAlignment="1">
      <alignment horizontal="center" vertical="center"/>
    </xf>
    <xf numFmtId="165" fontId="29" fillId="0" borderId="49" xfId="0" applyNumberFormat="1" applyFont="1" applyBorder="1" applyAlignment="1">
      <alignment horizontal="center" vertical="center"/>
    </xf>
    <xf numFmtId="165" fontId="1" fillId="0" borderId="50" xfId="0" applyNumberFormat="1" applyFont="1" applyBorder="1" applyAlignment="1">
      <alignment horizontal="center" vertical="center"/>
    </xf>
    <xf numFmtId="0" fontId="1" fillId="0" borderId="10" xfId="0"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0" fontId="1" fillId="0" borderId="32" xfId="0" applyFont="1" applyBorder="1" applyAlignment="1">
      <alignment horizontal="center" vertical="center"/>
    </xf>
    <xf numFmtId="0" fontId="29" fillId="0" borderId="39" xfId="0" applyFont="1" applyBorder="1" applyAlignment="1">
      <alignment horizontal="center" vertical="center"/>
    </xf>
    <xf numFmtId="0" fontId="1" fillId="0" borderId="51" xfId="0" applyFont="1" applyBorder="1" applyAlignment="1">
      <alignment horizontal="center" vertical="center"/>
    </xf>
    <xf numFmtId="0" fontId="3" fillId="0" borderId="0" xfId="0" applyFont="1" applyAlignment="1">
      <alignment horizontal="right" vertical="center"/>
    </xf>
    <xf numFmtId="0" fontId="29" fillId="0" borderId="0" xfId="0" applyFont="1" applyAlignment="1">
      <alignment horizontal="center" vertical="center"/>
    </xf>
    <xf numFmtId="0" fontId="2" fillId="0" borderId="46" xfId="0" applyFont="1" applyBorder="1" applyAlignment="1">
      <alignment horizontal="center" vertical="center"/>
    </xf>
    <xf numFmtId="15" fontId="10" fillId="0" borderId="46" xfId="0" applyNumberFormat="1" applyFont="1" applyBorder="1" applyAlignment="1">
      <alignment horizontal="center" vertical="center"/>
    </xf>
    <xf numFmtId="0" fontId="1" fillId="0" borderId="0" xfId="0" applyFont="1" applyAlignment="1">
      <alignment horizontal="center" vertical="center" wrapText="1"/>
    </xf>
    <xf numFmtId="46" fontId="30" fillId="4" borderId="47" xfId="0" applyNumberFormat="1" applyFont="1" applyFill="1" applyBorder="1" applyAlignment="1" applyProtection="1">
      <alignment horizontal="center" vertical="center" wrapText="1"/>
      <protection locked="0"/>
    </xf>
    <xf numFmtId="0" fontId="2" fillId="0" borderId="43" xfId="0" applyFont="1" applyBorder="1" applyAlignment="1">
      <alignment horizontal="center"/>
    </xf>
    <xf numFmtId="0" fontId="10" fillId="0" borderId="32" xfId="0" applyFont="1" applyBorder="1" applyAlignment="1">
      <alignment horizontal="center" vertical="center"/>
    </xf>
    <xf numFmtId="0" fontId="10" fillId="0" borderId="39" xfId="0" applyFont="1" applyBorder="1" applyAlignment="1">
      <alignment horizontal="center" vertical="center"/>
    </xf>
    <xf numFmtId="0" fontId="2" fillId="0" borderId="32" xfId="0" applyFont="1" applyBorder="1" applyAlignment="1">
      <alignment horizontal="center" vertical="center"/>
    </xf>
    <xf numFmtId="0" fontId="2" fillId="0" borderId="39" xfId="0" applyFont="1" applyBorder="1" applyAlignment="1">
      <alignment horizontal="center" vertical="center"/>
    </xf>
    <xf numFmtId="0" fontId="2" fillId="0" borderId="51" xfId="0" applyFont="1" applyBorder="1" applyAlignment="1">
      <alignment horizontal="center" vertical="center"/>
    </xf>
    <xf numFmtId="0" fontId="30"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0" fontId="1" fillId="0" borderId="36" xfId="0" applyFont="1" applyBorder="1" applyAlignment="1">
      <alignment horizontal="center"/>
    </xf>
    <xf numFmtId="0" fontId="1" fillId="0" borderId="40" xfId="0" applyFont="1" applyBorder="1" applyAlignment="1">
      <alignment horizontal="center" wrapText="1"/>
    </xf>
    <xf numFmtId="0" fontId="1" fillId="0" borderId="41" xfId="0" applyFont="1" applyBorder="1" applyAlignment="1">
      <alignment horizontal="center" wrapText="1"/>
    </xf>
    <xf numFmtId="0" fontId="1" fillId="0" borderId="42" xfId="0" applyFont="1" applyBorder="1" applyAlignment="1">
      <alignment horizontal="center" wrapText="1"/>
    </xf>
    <xf numFmtId="165" fontId="30" fillId="0" borderId="0" xfId="0" applyNumberFormat="1" applyFont="1" applyAlignment="1">
      <alignment horizontal="center" vertical="center" wrapText="1"/>
    </xf>
    <xf numFmtId="0" fontId="10" fillId="0" borderId="51"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1" xfId="0" applyFont="1" applyBorder="1" applyAlignment="1">
      <alignment horizontal="center" vertical="center"/>
    </xf>
    <xf numFmtId="0" fontId="2" fillId="0" borderId="23" xfId="0" applyFont="1" applyBorder="1" applyAlignment="1">
      <alignment horizontal="center" vertical="center"/>
    </xf>
    <xf numFmtId="0" fontId="10" fillId="0" borderId="86" xfId="0" applyFont="1" applyBorder="1" applyAlignment="1">
      <alignment horizontal="center" vertical="center"/>
    </xf>
    <xf numFmtId="0" fontId="2" fillId="0" borderId="49" xfId="0" applyFont="1" applyBorder="1" applyAlignment="1">
      <alignment horizontal="center" vertical="center"/>
    </xf>
    <xf numFmtId="0" fontId="2" fillId="0" borderId="50" xfId="0" applyFont="1" applyBorder="1" applyAlignment="1">
      <alignment horizontal="center" vertical="center"/>
    </xf>
    <xf numFmtId="165" fontId="10" fillId="0" borderId="32" xfId="0" applyNumberFormat="1" applyFont="1" applyBorder="1" applyAlignment="1">
      <alignment horizontal="center" vertical="center" wrapText="1"/>
    </xf>
    <xf numFmtId="165" fontId="10" fillId="0" borderId="39" xfId="0" applyNumberFormat="1" applyFont="1" applyBorder="1" applyAlignment="1">
      <alignment horizontal="center" vertical="center" wrapText="1"/>
    </xf>
    <xf numFmtId="165" fontId="10" fillId="0" borderId="39" xfId="0" applyNumberFormat="1" applyFont="1" applyBorder="1" applyAlignment="1">
      <alignment horizontal="center" vertical="center"/>
    </xf>
    <xf numFmtId="165" fontId="10" fillId="0" borderId="51" xfId="0" applyNumberFormat="1" applyFont="1" applyBorder="1" applyAlignment="1">
      <alignment horizontal="center" vertical="center"/>
    </xf>
    <xf numFmtId="0" fontId="2" fillId="0" borderId="48" xfId="0" applyFont="1" applyBorder="1" applyAlignment="1">
      <alignment horizontal="center" vertical="center"/>
    </xf>
    <xf numFmtId="165" fontId="10" fillId="0" borderId="32" xfId="0" applyNumberFormat="1" applyFont="1" applyBorder="1" applyAlignment="1">
      <alignment horizontal="center" vertical="center"/>
    </xf>
    <xf numFmtId="0" fontId="3" fillId="0" borderId="44" xfId="0" applyFont="1" applyBorder="1" applyAlignment="1">
      <alignment horizontal="right" vertical="center"/>
    </xf>
    <xf numFmtId="0" fontId="3" fillId="0" borderId="45"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protection locked="0"/>
    </xf>
    <xf numFmtId="0" fontId="1" fillId="0" borderId="5" xfId="0" applyFont="1" applyBorder="1" applyAlignment="1">
      <alignment horizontal="center" wrapText="1"/>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31" fillId="0" borderId="0" xfId="0" applyFont="1" applyAlignment="1">
      <alignment horizontal="left" wrapText="1"/>
    </xf>
    <xf numFmtId="0" fontId="2" fillId="0" borderId="0" xfId="0" applyFont="1" applyAlignment="1">
      <alignment horizontal="center" vertical="center"/>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5" xfId="0" applyFont="1" applyBorder="1" applyAlignment="1">
      <alignment horizontal="center" vertical="center" wrapText="1"/>
    </xf>
    <xf numFmtId="0" fontId="1" fillId="0" borderId="8"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9" xfId="0" applyFont="1" applyBorder="1" applyAlignment="1">
      <alignment horizontal="center" wrapText="1"/>
    </xf>
    <xf numFmtId="0" fontId="1" fillId="0" borderId="30" xfId="0" applyFont="1" applyBorder="1" applyAlignment="1">
      <alignment horizontal="center" wrapText="1"/>
    </xf>
    <xf numFmtId="0" fontId="1" fillId="0" borderId="36" xfId="0" applyFont="1" applyBorder="1" applyAlignment="1">
      <alignment horizontal="center" wrapText="1"/>
    </xf>
    <xf numFmtId="0" fontId="1" fillId="0" borderId="7" xfId="0" applyFont="1" applyBorder="1" applyAlignment="1">
      <alignment horizontal="center" vertical="center" wrapText="1"/>
    </xf>
    <xf numFmtId="0" fontId="1" fillId="0" borderId="9" xfId="0" applyFont="1" applyBorder="1" applyAlignment="1">
      <alignment horizontal="center" vertical="center" wrapText="1"/>
    </xf>
    <xf numFmtId="0" fontId="1" fillId="0" borderId="5" xfId="0" applyFont="1" applyBorder="1" applyAlignment="1">
      <alignment horizontal="center"/>
    </xf>
    <xf numFmtId="0" fontId="1" fillId="0" borderId="15" xfId="0" applyFont="1" applyBorder="1" applyAlignment="1">
      <alignment horizontal="center"/>
    </xf>
    <xf numFmtId="0" fontId="22" fillId="3" borderId="25" xfId="0" applyFont="1" applyFill="1" applyBorder="1" applyAlignment="1">
      <alignment horizontal="center" vertical="center" wrapText="1"/>
    </xf>
    <xf numFmtId="0" fontId="22" fillId="3" borderId="26" xfId="0" applyFont="1" applyFill="1" applyBorder="1" applyAlignment="1">
      <alignment horizontal="center" vertical="center"/>
    </xf>
    <xf numFmtId="0" fontId="22" fillId="3" borderId="27" xfId="0" applyFont="1" applyFill="1" applyBorder="1" applyAlignment="1">
      <alignment horizontal="center" vertical="center"/>
    </xf>
    <xf numFmtId="0" fontId="22" fillId="0" borderId="0" xfId="0" applyFont="1" applyAlignment="1">
      <alignment horizontal="right" vertical="top" wrapText="1"/>
    </xf>
    <xf numFmtId="0" fontId="22" fillId="3" borderId="29" xfId="0" applyFont="1" applyFill="1" applyBorder="1" applyAlignment="1">
      <alignment horizontal="center" vertical="center" wrapText="1"/>
    </xf>
    <xf numFmtId="0" fontId="22" fillId="3" borderId="30" xfId="0" applyFont="1" applyFill="1" applyBorder="1" applyAlignment="1">
      <alignment horizontal="center" vertical="center" wrapText="1"/>
    </xf>
    <xf numFmtId="0" fontId="22" fillId="3" borderId="31" xfId="0" applyFont="1" applyFill="1" applyBorder="1" applyAlignment="1">
      <alignment horizontal="center" vertical="center" wrapText="1"/>
    </xf>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58" xfId="0" applyFont="1" applyFill="1" applyBorder="1" applyAlignment="1">
      <alignment horizontal="center" vertical="center" wrapText="1"/>
    </xf>
    <xf numFmtId="0" fontId="22" fillId="3" borderId="59" xfId="0" applyFont="1" applyFill="1" applyBorder="1" applyAlignment="1">
      <alignment horizontal="center" vertical="center" wrapText="1"/>
    </xf>
    <xf numFmtId="0" fontId="22" fillId="3" borderId="60" xfId="0" applyFont="1" applyFill="1" applyBorder="1" applyAlignment="1">
      <alignment horizontal="center" vertical="center" wrapText="1"/>
    </xf>
    <xf numFmtId="0" fontId="22" fillId="3" borderId="21" xfId="0" applyFont="1" applyFill="1" applyBorder="1" applyAlignment="1">
      <alignment horizontal="center" vertical="center"/>
    </xf>
    <xf numFmtId="0" fontId="22" fillId="3" borderId="6" xfId="0" applyFont="1" applyFill="1" applyBorder="1" applyAlignment="1">
      <alignment horizontal="center" vertical="center"/>
    </xf>
    <xf numFmtId="0" fontId="22" fillId="3" borderId="15" xfId="0" applyFont="1" applyFill="1" applyBorder="1" applyAlignment="1">
      <alignment horizontal="center" vertical="center"/>
    </xf>
    <xf numFmtId="0" fontId="22" fillId="3" borderId="5" xfId="0" applyFont="1" applyFill="1" applyBorder="1" applyAlignment="1">
      <alignment horizontal="center" vertical="center"/>
    </xf>
    <xf numFmtId="0" fontId="22" fillId="3" borderId="7" xfId="0" applyFont="1" applyFill="1" applyBorder="1" applyAlignment="1">
      <alignment horizontal="center" vertical="center"/>
    </xf>
    <xf numFmtId="167" fontId="26" fillId="0" borderId="0" xfId="0" applyNumberFormat="1" applyFont="1" applyAlignment="1">
      <alignment horizontal="left" vertical="center" indent="1"/>
    </xf>
    <xf numFmtId="0" fontId="22" fillId="3" borderId="8" xfId="0" applyFont="1" applyFill="1" applyBorder="1" applyAlignment="1">
      <alignment horizontal="center" vertical="center"/>
    </xf>
    <xf numFmtId="0" fontId="22" fillId="3" borderId="16" xfId="0" applyFont="1" applyFill="1" applyBorder="1" applyAlignment="1">
      <alignment horizontal="center" vertical="center"/>
    </xf>
    <xf numFmtId="0" fontId="22" fillId="3" borderId="21" xfId="0" applyFont="1" applyFill="1" applyBorder="1" applyAlignment="1">
      <alignment horizontal="center" vertical="center" wrapText="1"/>
    </xf>
    <xf numFmtId="0" fontId="22" fillId="3" borderId="22" xfId="0" applyFont="1" applyFill="1" applyBorder="1" applyAlignment="1">
      <alignment horizontal="center" vertical="center"/>
    </xf>
    <xf numFmtId="0" fontId="22" fillId="3" borderId="1" xfId="0" applyFont="1" applyFill="1" applyBorder="1" applyAlignment="1">
      <alignment horizontal="center" vertical="center"/>
    </xf>
    <xf numFmtId="0" fontId="1" fillId="0" borderId="0" xfId="0" applyFont="1" applyAlignment="1">
      <alignment horizontal="left" vertical="top" wrapText="1"/>
    </xf>
    <xf numFmtId="0" fontId="22" fillId="3" borderId="37" xfId="0" applyFont="1" applyFill="1" applyBorder="1" applyAlignment="1">
      <alignment horizontal="left" vertical="center" wrapText="1"/>
    </xf>
    <xf numFmtId="0" fontId="22" fillId="3" borderId="20" xfId="0" applyFont="1" applyFill="1" applyBorder="1" applyAlignment="1">
      <alignment horizontal="left" vertical="center"/>
    </xf>
    <xf numFmtId="167" fontId="26" fillId="0" borderId="0" xfId="0" applyNumberFormat="1" applyFont="1" applyAlignment="1">
      <alignment horizontal="left" indent="1"/>
    </xf>
    <xf numFmtId="0" fontId="22" fillId="0" borderId="68" xfId="0" applyFont="1" applyBorder="1" applyAlignment="1">
      <alignment horizontal="center" vertical="center" wrapText="1"/>
    </xf>
    <xf numFmtId="0" fontId="22" fillId="0" borderId="0" xfId="0" applyFont="1" applyAlignment="1">
      <alignment horizontal="center" vertical="center" wrapText="1"/>
    </xf>
    <xf numFmtId="0" fontId="22" fillId="0" borderId="0" xfId="0" applyFont="1" applyAlignment="1">
      <alignment horizontal="right" vertical="center" wrapText="1"/>
    </xf>
    <xf numFmtId="0" fontId="22" fillId="0" borderId="0" xfId="0" applyFont="1" applyAlignment="1">
      <alignment horizontal="right" vertical="center"/>
    </xf>
    <xf numFmtId="0" fontId="25" fillId="0" borderId="0" xfId="0" applyFont="1" applyAlignment="1">
      <alignment horizontal="right"/>
    </xf>
    <xf numFmtId="0" fontId="2" fillId="3" borderId="46" xfId="0" applyFont="1" applyFill="1" applyBorder="1" applyAlignment="1">
      <alignment horizontal="right" vertical="center"/>
    </xf>
    <xf numFmtId="0" fontId="2" fillId="3" borderId="71" xfId="0" applyFont="1" applyFill="1" applyBorder="1" applyAlignment="1">
      <alignment horizontal="right" vertical="center"/>
    </xf>
    <xf numFmtId="165" fontId="1" fillId="0" borderId="46" xfId="0" applyNumberFormat="1" applyFont="1" applyBorder="1" applyAlignment="1">
      <alignment horizontal="center" vertical="center"/>
    </xf>
    <xf numFmtId="0" fontId="1" fillId="0" borderId="47" xfId="0" applyFont="1" applyBorder="1" applyAlignment="1">
      <alignment horizontal="center" vertical="center"/>
    </xf>
    <xf numFmtId="0" fontId="1" fillId="0" borderId="46" xfId="0" applyFont="1" applyBorder="1" applyAlignment="1">
      <alignment horizontal="center" vertical="center"/>
    </xf>
    <xf numFmtId="0" fontId="22" fillId="3" borderId="9" xfId="0" applyFont="1" applyFill="1" applyBorder="1" applyAlignment="1">
      <alignment horizontal="center" vertical="center"/>
    </xf>
    <xf numFmtId="0" fontId="2" fillId="3" borderId="57" xfId="0" applyFont="1" applyFill="1" applyBorder="1" applyAlignment="1">
      <alignment horizontal="right" vertical="center"/>
    </xf>
    <xf numFmtId="0" fontId="2" fillId="3" borderId="0" xfId="0" applyFont="1" applyFill="1" applyAlignment="1">
      <alignment horizontal="right" vertical="center"/>
    </xf>
    <xf numFmtId="165" fontId="1" fillId="0" borderId="57" xfId="0" applyNumberFormat="1" applyFont="1" applyBorder="1" applyAlignment="1">
      <alignment horizontal="center" vertical="center"/>
    </xf>
    <xf numFmtId="165" fontId="1" fillId="0" borderId="72" xfId="0" applyNumberFormat="1" applyFont="1" applyBorder="1" applyAlignment="1">
      <alignment horizontal="center" vertical="center"/>
    </xf>
    <xf numFmtId="0" fontId="1" fillId="0" borderId="57" xfId="0" applyFont="1" applyBorder="1" applyAlignment="1">
      <alignment horizontal="center" vertical="center"/>
    </xf>
    <xf numFmtId="0" fontId="1" fillId="0" borderId="72" xfId="0" applyFont="1" applyBorder="1" applyAlignment="1">
      <alignment horizontal="center" vertical="center"/>
    </xf>
    <xf numFmtId="0" fontId="24" fillId="0" borderId="0" xfId="0" applyFont="1" applyAlignment="1">
      <alignment horizontal="left"/>
    </xf>
    <xf numFmtId="0" fontId="25" fillId="0" borderId="0" xfId="0" applyFont="1" applyAlignment="1">
      <alignment horizontal="right" vertical="center"/>
    </xf>
    <xf numFmtId="0" fontId="13" fillId="0" borderId="0" xfId="0" applyFont="1" applyAlignment="1">
      <alignment horizontal="left"/>
    </xf>
  </cellXfs>
  <cellStyles count="2">
    <cellStyle name="Hyperlink" xfId="1" builtinId="8"/>
    <cellStyle name="Normal" xfId="0" builtinId="0"/>
  </cellStyles>
  <dxfs count="15">
    <dxf>
      <font>
        <color theme="0"/>
      </font>
    </dxf>
    <dxf>
      <font>
        <color theme="0"/>
      </font>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9</xdr:row>
          <xdr:rowOff>0</xdr:rowOff>
        </xdr:from>
        <xdr:to>
          <xdr:col>18</xdr:col>
          <xdr:colOff>238125</xdr:colOff>
          <xdr:row>10</xdr:row>
          <xdr:rowOff>9525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10</xdr:row>
          <xdr:rowOff>0</xdr:rowOff>
        </xdr:from>
        <xdr:to>
          <xdr:col>18</xdr:col>
          <xdr:colOff>238125</xdr:colOff>
          <xdr:row>11</xdr:row>
          <xdr:rowOff>9525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11</xdr:row>
          <xdr:rowOff>0</xdr:rowOff>
        </xdr:from>
        <xdr:to>
          <xdr:col>18</xdr:col>
          <xdr:colOff>238125</xdr:colOff>
          <xdr:row>12</xdr:row>
          <xdr:rowOff>9525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12</xdr:row>
          <xdr:rowOff>0</xdr:rowOff>
        </xdr:from>
        <xdr:to>
          <xdr:col>18</xdr:col>
          <xdr:colOff>238125</xdr:colOff>
          <xdr:row>13</xdr:row>
          <xdr:rowOff>9525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0</xdr:rowOff>
        </xdr:from>
        <xdr:to>
          <xdr:col>18</xdr:col>
          <xdr:colOff>238125</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14</xdr:row>
          <xdr:rowOff>0</xdr:rowOff>
        </xdr:from>
        <xdr:to>
          <xdr:col>18</xdr:col>
          <xdr:colOff>238125</xdr:colOff>
          <xdr:row>15</xdr:row>
          <xdr:rowOff>9525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15</xdr:row>
          <xdr:rowOff>0</xdr:rowOff>
        </xdr:from>
        <xdr:to>
          <xdr:col>18</xdr:col>
          <xdr:colOff>238125</xdr:colOff>
          <xdr:row>16</xdr:row>
          <xdr:rowOff>9525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0</xdr:rowOff>
        </xdr:from>
        <xdr:to>
          <xdr:col>18</xdr:col>
          <xdr:colOff>238125</xdr:colOff>
          <xdr:row>17</xdr:row>
          <xdr:rowOff>9525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18</xdr:col>
          <xdr:colOff>238125</xdr:colOff>
          <xdr:row>18</xdr:row>
          <xdr:rowOff>9525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18</xdr:row>
          <xdr:rowOff>0</xdr:rowOff>
        </xdr:from>
        <xdr:to>
          <xdr:col>18</xdr:col>
          <xdr:colOff>238125</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19</xdr:row>
          <xdr:rowOff>0</xdr:rowOff>
        </xdr:from>
        <xdr:to>
          <xdr:col>18</xdr:col>
          <xdr:colOff>238125</xdr:colOff>
          <xdr:row>20</xdr:row>
          <xdr:rowOff>9525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20</xdr:row>
          <xdr:rowOff>0</xdr:rowOff>
        </xdr:from>
        <xdr:to>
          <xdr:col>18</xdr:col>
          <xdr:colOff>238125</xdr:colOff>
          <xdr:row>21</xdr:row>
          <xdr:rowOff>9525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21</xdr:row>
          <xdr:rowOff>0</xdr:rowOff>
        </xdr:from>
        <xdr:to>
          <xdr:col>18</xdr:col>
          <xdr:colOff>238125</xdr:colOff>
          <xdr:row>22</xdr:row>
          <xdr:rowOff>9525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22</xdr:row>
          <xdr:rowOff>0</xdr:rowOff>
        </xdr:from>
        <xdr:to>
          <xdr:col>18</xdr:col>
          <xdr:colOff>238125</xdr:colOff>
          <xdr:row>23</xdr:row>
          <xdr:rowOff>9525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23</xdr:row>
          <xdr:rowOff>0</xdr:rowOff>
        </xdr:from>
        <xdr:to>
          <xdr:col>18</xdr:col>
          <xdr:colOff>238125</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24</xdr:row>
          <xdr:rowOff>0</xdr:rowOff>
        </xdr:from>
        <xdr:to>
          <xdr:col>18</xdr:col>
          <xdr:colOff>238125</xdr:colOff>
          <xdr:row>25</xdr:row>
          <xdr:rowOff>9525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25</xdr:row>
          <xdr:rowOff>0</xdr:rowOff>
        </xdr:from>
        <xdr:to>
          <xdr:col>18</xdr:col>
          <xdr:colOff>238125</xdr:colOff>
          <xdr:row>26</xdr:row>
          <xdr:rowOff>9525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26</xdr:row>
          <xdr:rowOff>0</xdr:rowOff>
        </xdr:from>
        <xdr:to>
          <xdr:col>18</xdr:col>
          <xdr:colOff>238125</xdr:colOff>
          <xdr:row>27</xdr:row>
          <xdr:rowOff>9525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27</xdr:row>
          <xdr:rowOff>0</xdr:rowOff>
        </xdr:from>
        <xdr:to>
          <xdr:col>18</xdr:col>
          <xdr:colOff>238125</xdr:colOff>
          <xdr:row>28</xdr:row>
          <xdr:rowOff>9525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28</xdr:row>
          <xdr:rowOff>0</xdr:rowOff>
        </xdr:from>
        <xdr:to>
          <xdr:col>18</xdr:col>
          <xdr:colOff>238125</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0</xdr:rowOff>
        </xdr:from>
        <xdr:to>
          <xdr:col>18</xdr:col>
          <xdr:colOff>238125</xdr:colOff>
          <xdr:row>30</xdr:row>
          <xdr:rowOff>9525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30</xdr:row>
          <xdr:rowOff>0</xdr:rowOff>
        </xdr:from>
        <xdr:to>
          <xdr:col>18</xdr:col>
          <xdr:colOff>238125</xdr:colOff>
          <xdr:row>31</xdr:row>
          <xdr:rowOff>9525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31</xdr:row>
          <xdr:rowOff>0</xdr:rowOff>
        </xdr:from>
        <xdr:to>
          <xdr:col>18</xdr:col>
          <xdr:colOff>238125</xdr:colOff>
          <xdr:row>32</xdr:row>
          <xdr:rowOff>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0</xdr:rowOff>
        </xdr:from>
        <xdr:to>
          <xdr:col>18</xdr:col>
          <xdr:colOff>238125</xdr:colOff>
          <xdr:row>32</xdr:row>
          <xdr:rowOff>171450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33</xdr:row>
          <xdr:rowOff>0</xdr:rowOff>
        </xdr:from>
        <xdr:to>
          <xdr:col>18</xdr:col>
          <xdr:colOff>238125</xdr:colOff>
          <xdr:row>33</xdr:row>
          <xdr:rowOff>171450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34</xdr:row>
          <xdr:rowOff>0</xdr:rowOff>
        </xdr:from>
        <xdr:to>
          <xdr:col>18</xdr:col>
          <xdr:colOff>238125</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35</xdr:row>
          <xdr:rowOff>0</xdr:rowOff>
        </xdr:from>
        <xdr:to>
          <xdr:col>18</xdr:col>
          <xdr:colOff>238125</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36</xdr:row>
          <xdr:rowOff>0</xdr:rowOff>
        </xdr:from>
        <xdr:to>
          <xdr:col>18</xdr:col>
          <xdr:colOff>238125</xdr:colOff>
          <xdr:row>36</xdr:row>
          <xdr:rowOff>171450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37</xdr:row>
          <xdr:rowOff>0</xdr:rowOff>
        </xdr:from>
        <xdr:to>
          <xdr:col>18</xdr:col>
          <xdr:colOff>238125</xdr:colOff>
          <xdr:row>38</xdr:row>
          <xdr:rowOff>9525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38</xdr:row>
          <xdr:rowOff>0</xdr:rowOff>
        </xdr:from>
        <xdr:to>
          <xdr:col>18</xdr:col>
          <xdr:colOff>238125</xdr:colOff>
          <xdr:row>39</xdr:row>
          <xdr:rowOff>9525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39</xdr:row>
          <xdr:rowOff>0</xdr:rowOff>
        </xdr:from>
        <xdr:to>
          <xdr:col>18</xdr:col>
          <xdr:colOff>238125</xdr:colOff>
          <xdr:row>40</xdr:row>
          <xdr:rowOff>9525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40</xdr:row>
          <xdr:rowOff>0</xdr:rowOff>
        </xdr:from>
        <xdr:to>
          <xdr:col>18</xdr:col>
          <xdr:colOff>238125</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466725</xdr:rowOff>
        </xdr:from>
        <xdr:to>
          <xdr:col>11</xdr:col>
          <xdr:colOff>295275</xdr:colOff>
          <xdr:row>10</xdr:row>
          <xdr:rowOff>28575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171450</xdr:rowOff>
        </xdr:from>
        <xdr:to>
          <xdr:col>11</xdr:col>
          <xdr:colOff>295275</xdr:colOff>
          <xdr:row>11</xdr:row>
          <xdr:rowOff>9525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171450</xdr:rowOff>
        </xdr:from>
        <xdr:to>
          <xdr:col>11</xdr:col>
          <xdr:colOff>295275</xdr:colOff>
          <xdr:row>12</xdr:row>
          <xdr:rowOff>19050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171450</xdr:rowOff>
        </xdr:from>
        <xdr:to>
          <xdr:col>11</xdr:col>
          <xdr:colOff>295275</xdr:colOff>
          <xdr:row>13</xdr:row>
          <xdr:rowOff>9525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161925</xdr:rowOff>
        </xdr:from>
        <xdr:to>
          <xdr:col>11</xdr:col>
          <xdr:colOff>295275</xdr:colOff>
          <xdr:row>16</xdr:row>
          <xdr:rowOff>9525</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161925</xdr:rowOff>
        </xdr:from>
        <xdr:to>
          <xdr:col>11</xdr:col>
          <xdr:colOff>295275</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171450</xdr:rowOff>
        </xdr:from>
        <xdr:to>
          <xdr:col>11</xdr:col>
          <xdr:colOff>295275</xdr:colOff>
          <xdr:row>14</xdr:row>
          <xdr:rowOff>9525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171450</xdr:rowOff>
        </xdr:from>
        <xdr:to>
          <xdr:col>11</xdr:col>
          <xdr:colOff>295275</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22</xdr:row>
          <xdr:rowOff>152400</xdr:rowOff>
        </xdr:from>
        <xdr:to>
          <xdr:col>11</xdr:col>
          <xdr:colOff>295275</xdr:colOff>
          <xdr:row>23</xdr:row>
          <xdr:rowOff>180975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21</xdr:row>
          <xdr:rowOff>161925</xdr:rowOff>
        </xdr:from>
        <xdr:to>
          <xdr:col>11</xdr:col>
          <xdr:colOff>295275</xdr:colOff>
          <xdr:row>22</xdr:row>
          <xdr:rowOff>180975</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20</xdr:row>
          <xdr:rowOff>161925</xdr:rowOff>
        </xdr:from>
        <xdr:to>
          <xdr:col>11</xdr:col>
          <xdr:colOff>295275</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19</xdr:row>
          <xdr:rowOff>161925</xdr:rowOff>
        </xdr:from>
        <xdr:to>
          <xdr:col>11</xdr:col>
          <xdr:colOff>295275</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18</xdr:row>
          <xdr:rowOff>161925</xdr:rowOff>
        </xdr:from>
        <xdr:to>
          <xdr:col>11</xdr:col>
          <xdr:colOff>295275</xdr:colOff>
          <xdr:row>20</xdr:row>
          <xdr:rowOff>9525</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17</xdr:row>
          <xdr:rowOff>161925</xdr:rowOff>
        </xdr:from>
        <xdr:to>
          <xdr:col>11</xdr:col>
          <xdr:colOff>295275</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16</xdr:row>
          <xdr:rowOff>161925</xdr:rowOff>
        </xdr:from>
        <xdr:to>
          <xdr:col>11</xdr:col>
          <xdr:colOff>295275</xdr:colOff>
          <xdr:row>18</xdr:row>
          <xdr:rowOff>9525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23</xdr:row>
          <xdr:rowOff>180975</xdr:rowOff>
        </xdr:from>
        <xdr:to>
          <xdr:col>11</xdr:col>
          <xdr:colOff>295275</xdr:colOff>
          <xdr:row>25</xdr:row>
          <xdr:rowOff>9525</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161925</xdr:rowOff>
        </xdr:from>
        <xdr:to>
          <xdr:col>11</xdr:col>
          <xdr:colOff>295275</xdr:colOff>
          <xdr:row>26</xdr:row>
          <xdr:rowOff>9525</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25</xdr:row>
          <xdr:rowOff>161925</xdr:rowOff>
        </xdr:from>
        <xdr:to>
          <xdr:col>11</xdr:col>
          <xdr:colOff>295275</xdr:colOff>
          <xdr:row>27</xdr:row>
          <xdr:rowOff>9525</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26</xdr:row>
          <xdr:rowOff>161925</xdr:rowOff>
        </xdr:from>
        <xdr:to>
          <xdr:col>11</xdr:col>
          <xdr:colOff>295275</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27</xdr:row>
          <xdr:rowOff>161925</xdr:rowOff>
        </xdr:from>
        <xdr:to>
          <xdr:col>11</xdr:col>
          <xdr:colOff>295275</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28</xdr:row>
          <xdr:rowOff>180975</xdr:rowOff>
        </xdr:from>
        <xdr:to>
          <xdr:col>11</xdr:col>
          <xdr:colOff>304800</xdr:colOff>
          <xdr:row>30</xdr:row>
          <xdr:rowOff>9525</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29</xdr:row>
          <xdr:rowOff>171450</xdr:rowOff>
        </xdr:from>
        <xdr:to>
          <xdr:col>11</xdr:col>
          <xdr:colOff>304800</xdr:colOff>
          <xdr:row>31</xdr:row>
          <xdr:rowOff>9525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30</xdr:row>
          <xdr:rowOff>161925</xdr:rowOff>
        </xdr:from>
        <xdr:to>
          <xdr:col>11</xdr:col>
          <xdr:colOff>304800</xdr:colOff>
          <xdr:row>32</xdr:row>
          <xdr:rowOff>9525</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466725</xdr:rowOff>
        </xdr:from>
        <xdr:to>
          <xdr:col>12</xdr:col>
          <xdr:colOff>285750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285750</xdr:colOff>
          <xdr:row>11</xdr:row>
          <xdr:rowOff>19050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285750</xdr:colOff>
          <xdr:row>12</xdr:row>
          <xdr:rowOff>28575</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285750</xdr:colOff>
          <xdr:row>13</xdr:row>
          <xdr:rowOff>19050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285750</xdr:colOff>
          <xdr:row>14</xdr:row>
          <xdr:rowOff>9525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285750</xdr:colOff>
          <xdr:row>15</xdr:row>
          <xdr:rowOff>9525</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161925</xdr:rowOff>
        </xdr:from>
        <xdr:to>
          <xdr:col>12</xdr:col>
          <xdr:colOff>285750</xdr:colOff>
          <xdr:row>16</xdr:row>
          <xdr:rowOff>9525</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12</xdr:col>
          <xdr:colOff>285750</xdr:colOff>
          <xdr:row>17</xdr:row>
          <xdr:rowOff>9525</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171450</xdr:rowOff>
        </xdr:from>
        <xdr:to>
          <xdr:col>12</xdr:col>
          <xdr:colOff>295275</xdr:colOff>
          <xdr:row>18</xdr:row>
          <xdr:rowOff>19050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171450</xdr:rowOff>
        </xdr:from>
        <xdr:to>
          <xdr:col>12</xdr:col>
          <xdr:colOff>295275</xdr:colOff>
          <xdr:row>19</xdr:row>
          <xdr:rowOff>9525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171450</xdr:rowOff>
        </xdr:from>
        <xdr:to>
          <xdr:col>12</xdr:col>
          <xdr:colOff>295275</xdr:colOff>
          <xdr:row>20</xdr:row>
          <xdr:rowOff>9525</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161925</xdr:rowOff>
        </xdr:from>
        <xdr:to>
          <xdr:col>12</xdr:col>
          <xdr:colOff>295275</xdr:colOff>
          <xdr:row>21</xdr:row>
          <xdr:rowOff>9525</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161925</xdr:rowOff>
        </xdr:from>
        <xdr:to>
          <xdr:col>12</xdr:col>
          <xdr:colOff>295275</xdr:colOff>
          <xdr:row>22</xdr:row>
          <xdr:rowOff>9525</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161925</xdr:rowOff>
        </xdr:from>
        <xdr:to>
          <xdr:col>12</xdr:col>
          <xdr:colOff>295275</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161925</xdr:rowOff>
        </xdr:from>
        <xdr:to>
          <xdr:col>12</xdr:col>
          <xdr:colOff>295275</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19050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171450</xdr:rowOff>
        </xdr:from>
        <xdr:to>
          <xdr:col>12</xdr:col>
          <xdr:colOff>295275</xdr:colOff>
          <xdr:row>26</xdr:row>
          <xdr:rowOff>9525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171450</xdr:rowOff>
        </xdr:from>
        <xdr:to>
          <xdr:col>12</xdr:col>
          <xdr:colOff>295275</xdr:colOff>
          <xdr:row>27</xdr:row>
          <xdr:rowOff>9525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171450</xdr:rowOff>
        </xdr:from>
        <xdr:to>
          <xdr:col>12</xdr:col>
          <xdr:colOff>295275</xdr:colOff>
          <xdr:row>28</xdr:row>
          <xdr:rowOff>9525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161925</xdr:rowOff>
        </xdr:from>
        <xdr:to>
          <xdr:col>12</xdr:col>
          <xdr:colOff>295275</xdr:colOff>
          <xdr:row>29</xdr:row>
          <xdr:rowOff>9525</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19050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9525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171450</xdr:rowOff>
        </xdr:from>
        <xdr:to>
          <xdr:col>12</xdr:col>
          <xdr:colOff>295275</xdr:colOff>
          <xdr:row>32</xdr:row>
          <xdr:rowOff>9525</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276225</xdr:colOff>
          <xdr:row>33</xdr:row>
          <xdr:rowOff>19050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171450</xdr:rowOff>
        </xdr:from>
        <xdr:to>
          <xdr:col>11</xdr:col>
          <xdr:colOff>276225</xdr:colOff>
          <xdr:row>33</xdr:row>
          <xdr:rowOff>171450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171450</xdr:rowOff>
        </xdr:from>
        <xdr:to>
          <xdr:col>11</xdr:col>
          <xdr:colOff>276225</xdr:colOff>
          <xdr:row>34</xdr:row>
          <xdr:rowOff>171450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171450</xdr:rowOff>
        </xdr:from>
        <xdr:to>
          <xdr:col>11</xdr:col>
          <xdr:colOff>276225</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161925</xdr:rowOff>
        </xdr:from>
        <xdr:to>
          <xdr:col>11</xdr:col>
          <xdr:colOff>276225</xdr:colOff>
          <xdr:row>36</xdr:row>
          <xdr:rowOff>171450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285750</xdr:colOff>
          <xdr:row>33</xdr:row>
          <xdr:rowOff>9525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161925</xdr:rowOff>
        </xdr:from>
        <xdr:to>
          <xdr:col>12</xdr:col>
          <xdr:colOff>285750</xdr:colOff>
          <xdr:row>33</xdr:row>
          <xdr:rowOff>171450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161925</xdr:rowOff>
        </xdr:from>
        <xdr:to>
          <xdr:col>12</xdr:col>
          <xdr:colOff>285750</xdr:colOff>
          <xdr:row>34</xdr:row>
          <xdr:rowOff>171450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161925</xdr:rowOff>
        </xdr:from>
        <xdr:to>
          <xdr:col>12</xdr:col>
          <xdr:colOff>285750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161925</xdr:rowOff>
        </xdr:from>
        <xdr:to>
          <xdr:col>12</xdr:col>
          <xdr:colOff>285750</xdr:colOff>
          <xdr:row>36</xdr:row>
          <xdr:rowOff>171450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19050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171450</xdr:rowOff>
        </xdr:from>
        <xdr:to>
          <xdr:col>11</xdr:col>
          <xdr:colOff>295275</xdr:colOff>
          <xdr:row>39</xdr:row>
          <xdr:rowOff>9525</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171450</xdr:rowOff>
        </xdr:from>
        <xdr:to>
          <xdr:col>11</xdr:col>
          <xdr:colOff>295275</xdr:colOff>
          <xdr:row>40</xdr:row>
          <xdr:rowOff>9525</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171450</xdr:rowOff>
        </xdr:from>
        <xdr:to>
          <xdr:col>11</xdr:col>
          <xdr:colOff>295275</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19050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171450</xdr:rowOff>
        </xdr:from>
        <xdr:to>
          <xdr:col>12</xdr:col>
          <xdr:colOff>295275</xdr:colOff>
          <xdr:row>39</xdr:row>
          <xdr:rowOff>9525</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171450</xdr:rowOff>
        </xdr:from>
        <xdr:to>
          <xdr:col>12</xdr:col>
          <xdr:colOff>295275</xdr:colOff>
          <xdr:row>40</xdr:row>
          <xdr:rowOff>9525</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171450</xdr:rowOff>
        </xdr:from>
        <xdr:to>
          <xdr:col>12</xdr:col>
          <xdr:colOff>295275</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14"/>
    <tableColumn id="2" xr3:uid="{00000000-0010-0000-0000-000002000000}" name="Tail Letter"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12">
  <autoFilter ref="A1:L33" xr:uid="{00000000-0009-0000-0100-000007000000}"/>
  <tableColumns count="12">
    <tableColumn id="1" xr3:uid="{00000000-0010-0000-0100-000001000000}" name="AircraftCommander" dataDxfId="11">
      <calculatedColumnFormula>'2965D'!B22</calculatedColumnFormula>
    </tableColumn>
    <tableColumn id="2" xr3:uid="{00000000-0010-0000-0100-000002000000}" name="2ndPilot" dataDxfId="10"/>
    <tableColumn id="3" xr3:uid="{00000000-0010-0000-0100-000003000000}" name="Duty" dataDxfId="9"/>
    <tableColumn id="4" xr3:uid="{00000000-0010-0000-0100-000004000000}" name="TakeOffTime" dataDxfId="8"/>
    <tableColumn id="5" xr3:uid="{00000000-0010-0000-0100-000005000000}" name="LandingTime" dataDxfId="7"/>
    <tableColumn id="6" xr3:uid="{00000000-0010-0000-0100-000006000000}" name="FlightTime" dataDxfId="6">
      <calculatedColumnFormula>ROUND((Formatted[[#This Row],[LandingTime]]-Formatted[[#This Row],[TakeOffTime]]) * 1440, 0)</calculatedColumnFormula>
    </tableColumn>
    <tableColumn id="7" xr3:uid="{00000000-0010-0000-0100-000007000000}" name="SPC" dataDxfId="5">
      <calculatedColumnFormula>'2965D'!O10</calculatedColumnFormula>
    </tableColumn>
    <tableColumn id="8" xr3:uid="{00000000-0010-0000-0100-000008000000}" name="PLF" dataDxfId="4"/>
    <tableColumn id="9" xr3:uid="{00000000-0010-0000-0100-000009000000}" name="Aircraft" dataDxfId="3">
      <calculatedColumnFormula>'2965D'!$F$2</calculatedColumnFormula>
    </tableColumn>
    <tableColumn id="10" xr3:uid="{00000000-0010-0000-0100-00000A000000}" name="Date" dataDxfId="2">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afac.sharepoint.com/:f:/s/interim/2%20FTS/661VGS/Elz_R-9-acZEofGuQS8halsBaSbD3xRsnJcjK7ZWmVrM0Q?e=ICynZv"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47" zoomScaleNormal="115" zoomScaleSheetLayoutView="115" workbookViewId="0">
      <pane ySplit="9" topLeftCell="A10" activePane="bottomLeft" state="frozen"/>
      <selection pane="bottomLeft" activeCell="B10" sqref="B10"/>
    </sheetView>
  </sheetViews>
  <sheetFormatPr defaultColWidth="8.7109375" defaultRowHeight="14.25" x14ac:dyDescent="0.2"/>
  <cols>
    <col min="1" max="1" width="4.140625" style="14" customWidth="1"/>
    <col min="2" max="3" width="16.7109375" style="14" customWidth="1"/>
    <col min="4" max="4" width="9.42578125" style="14" customWidth="1"/>
    <col min="5" max="5" width="8.7109375" style="14" customWidth="1"/>
    <col min="6" max="6" width="9.85546875" style="14" bestFit="1" customWidth="1"/>
    <col min="7" max="13" width="5.7109375" style="14" customWidth="1"/>
    <col min="14" max="14" width="6.5703125" style="14" customWidth="1"/>
    <col min="15" max="15" width="5.5703125" style="14" customWidth="1"/>
    <col min="16" max="18" width="5.7109375" style="14" customWidth="1"/>
    <col min="19" max="19" width="5.140625" style="14" customWidth="1"/>
    <col min="20" max="20" width="7.42578125" style="14" customWidth="1"/>
    <col min="21" max="16384" width="8.7109375" style="14"/>
  </cols>
  <sheetData>
    <row r="1" spans="1:21" ht="5.25" customHeight="1" x14ac:dyDescent="0.2"/>
    <row r="2" spans="1:21" ht="14.45" customHeight="1" x14ac:dyDescent="0.25">
      <c r="C2" s="165" t="s">
        <v>2</v>
      </c>
      <c r="D2" s="287" t="s">
        <v>3</v>
      </c>
      <c r="E2" s="287"/>
      <c r="F2" s="163"/>
      <c r="G2" s="128"/>
      <c r="H2" s="287" t="s">
        <v>4</v>
      </c>
      <c r="I2" s="287"/>
      <c r="J2" s="287"/>
      <c r="K2" s="287"/>
      <c r="L2" s="14" t="str">
        <f>IF($F2="", "",VLOOKUP(F2,Aircraft[#All],2,FALSE))</f>
        <v/>
      </c>
      <c r="N2" s="128" t="s">
        <v>5</v>
      </c>
      <c r="O2" s="288"/>
      <c r="P2" s="288"/>
      <c r="Q2" s="288"/>
    </row>
    <row r="3" spans="1:21" ht="6" customHeight="1" thickBot="1" x14ac:dyDescent="0.3">
      <c r="C3" s="165"/>
      <c r="D3" s="166"/>
      <c r="E3" s="166"/>
      <c r="F3" s="100"/>
      <c r="G3" s="296"/>
      <c r="H3" s="296"/>
      <c r="I3" s="296"/>
      <c r="J3" s="296"/>
      <c r="K3" s="296"/>
      <c r="L3" s="296"/>
      <c r="M3" s="296"/>
      <c r="N3" s="296"/>
      <c r="O3" s="296"/>
      <c r="P3" s="296"/>
      <c r="Q3" s="296"/>
      <c r="R3" s="296"/>
      <c r="S3" s="296"/>
      <c r="T3" s="296"/>
      <c r="U3" s="100"/>
    </row>
    <row r="4" spans="1:21" ht="30" customHeight="1" thickBot="1" x14ac:dyDescent="0.3">
      <c r="B4" s="167" t="s">
        <v>137</v>
      </c>
      <c r="C4" s="250"/>
      <c r="D4" s="166"/>
      <c r="E4" s="168"/>
      <c r="F4" s="169"/>
      <c r="H4" s="7"/>
      <c r="I4" s="7"/>
      <c r="J4" s="7"/>
      <c r="K4" s="168"/>
      <c r="L4" s="168"/>
      <c r="M4" s="168"/>
      <c r="N4" s="168"/>
      <c r="O4" s="170"/>
      <c r="P4" s="170"/>
      <c r="Q4" s="170"/>
      <c r="R4" s="170"/>
      <c r="S4" s="171"/>
      <c r="T4" s="171"/>
      <c r="U4" s="171"/>
    </row>
    <row r="5" spans="1:21" ht="30" customHeight="1" thickBot="1" x14ac:dyDescent="0.3">
      <c r="B5" s="167" t="s">
        <v>136</v>
      </c>
      <c r="C5" s="164"/>
      <c r="D5" s="166"/>
      <c r="E5" s="172"/>
      <c r="F5" s="173"/>
      <c r="G5" s="7"/>
      <c r="H5" s="7"/>
      <c r="I5" s="7"/>
      <c r="J5" s="7"/>
      <c r="K5" s="174"/>
      <c r="L5" s="174"/>
      <c r="M5" s="175"/>
      <c r="N5" s="175"/>
      <c r="O5" s="170"/>
      <c r="P5" s="170"/>
      <c r="Q5" s="170"/>
      <c r="R5" s="295" t="s">
        <v>138</v>
      </c>
      <c r="S5" s="295"/>
      <c r="T5" s="295"/>
      <c r="U5" s="175"/>
    </row>
    <row r="6" spans="1:21" ht="7.5" customHeight="1" thickBot="1" x14ac:dyDescent="0.3">
      <c r="C6" s="165"/>
      <c r="D6" s="166"/>
      <c r="E6" s="173"/>
      <c r="F6" s="173"/>
      <c r="G6" s="266"/>
      <c r="H6" s="266"/>
      <c r="I6" s="257"/>
      <c r="J6" s="257"/>
      <c r="K6" s="257"/>
      <c r="L6" s="257"/>
      <c r="M6" s="258"/>
      <c r="N6" s="258"/>
      <c r="O6" s="259"/>
      <c r="P6" s="259"/>
      <c r="Q6" s="259"/>
      <c r="R6" s="259"/>
      <c r="S6" s="258"/>
      <c r="T6" s="258"/>
      <c r="U6" s="258"/>
    </row>
    <row r="7" spans="1:21" ht="12" customHeight="1" x14ac:dyDescent="0.2">
      <c r="A7" s="300" t="s">
        <v>6</v>
      </c>
      <c r="B7" s="176"/>
      <c r="C7" s="177"/>
      <c r="D7" s="178"/>
      <c r="E7" s="297" t="s">
        <v>23</v>
      </c>
      <c r="F7" s="179"/>
      <c r="G7" s="308" t="s">
        <v>7</v>
      </c>
      <c r="H7" s="290"/>
      <c r="I7" s="291"/>
      <c r="J7" s="308" t="s">
        <v>8</v>
      </c>
      <c r="K7" s="309"/>
      <c r="L7" s="300" t="s">
        <v>9</v>
      </c>
      <c r="M7" s="306"/>
      <c r="N7" s="303" t="s">
        <v>10</v>
      </c>
      <c r="O7" s="263" t="s">
        <v>11</v>
      </c>
      <c r="P7" s="289" t="s">
        <v>12</v>
      </c>
      <c r="Q7" s="290"/>
      <c r="R7" s="291"/>
      <c r="S7" s="260" t="s">
        <v>13</v>
      </c>
      <c r="T7" s="263" t="s">
        <v>14</v>
      </c>
    </row>
    <row r="8" spans="1:21" ht="13.5" customHeight="1" x14ac:dyDescent="0.2">
      <c r="A8" s="301"/>
      <c r="B8" s="180"/>
      <c r="C8" s="181"/>
      <c r="D8" s="182"/>
      <c r="E8" s="298"/>
      <c r="F8" s="183"/>
      <c r="G8" s="184" t="s">
        <v>15</v>
      </c>
      <c r="H8" s="185" t="s">
        <v>100</v>
      </c>
      <c r="I8" s="186" t="s">
        <v>101</v>
      </c>
      <c r="J8" s="184" t="s">
        <v>18</v>
      </c>
      <c r="K8" s="187" t="s">
        <v>19</v>
      </c>
      <c r="L8" s="301"/>
      <c r="M8" s="307"/>
      <c r="N8" s="304"/>
      <c r="O8" s="264"/>
      <c r="P8" s="292"/>
      <c r="Q8" s="293"/>
      <c r="R8" s="294"/>
      <c r="S8" s="261"/>
      <c r="T8" s="264"/>
    </row>
    <row r="9" spans="1:21" ht="30" customHeight="1" thickBot="1" x14ac:dyDescent="0.25">
      <c r="A9" s="302"/>
      <c r="B9" s="188" t="s">
        <v>20</v>
      </c>
      <c r="C9" s="188" t="s">
        <v>21</v>
      </c>
      <c r="D9" s="189" t="s">
        <v>22</v>
      </c>
      <c r="E9" s="299"/>
      <c r="F9" s="190" t="s">
        <v>24</v>
      </c>
      <c r="G9" s="191" t="s">
        <v>25</v>
      </c>
      <c r="H9" s="192" t="s">
        <v>26</v>
      </c>
      <c r="I9" s="193" t="s">
        <v>27</v>
      </c>
      <c r="J9" s="191" t="s">
        <v>28</v>
      </c>
      <c r="K9" s="194" t="s">
        <v>29</v>
      </c>
      <c r="L9" s="191" t="s">
        <v>30</v>
      </c>
      <c r="M9" s="193" t="s">
        <v>31</v>
      </c>
      <c r="N9" s="305"/>
      <c r="O9" s="264"/>
      <c r="P9" s="191">
        <v>1</v>
      </c>
      <c r="Q9" s="192">
        <v>6</v>
      </c>
      <c r="R9" s="193">
        <v>7</v>
      </c>
      <c r="S9" s="262"/>
      <c r="T9" s="265"/>
    </row>
    <row r="10" spans="1:21" ht="15" x14ac:dyDescent="0.25">
      <c r="A10" s="195">
        <v>1</v>
      </c>
      <c r="B10" s="139"/>
      <c r="C10" s="140"/>
      <c r="D10" s="141"/>
      <c r="E10" s="142"/>
      <c r="F10" s="142"/>
      <c r="G10" s="196" t="str">
        <f>IF($D10="","",IF($D10=G$8,$F10-$E10,""))</f>
        <v/>
      </c>
      <c r="H10" s="197" t="str">
        <f>IF($D10="","",IF($D10=H$8,$F10-$E10,""))</f>
        <v/>
      </c>
      <c r="I10" s="198" t="str">
        <f t="shared" ref="H10:I25" si="0">IF($D10="","",IF($D10=I$8,$F10-$E10,""))</f>
        <v/>
      </c>
      <c r="J10" s="196" t="str">
        <f>IF($D10="","",IF($D10=CONCATENATE(J$7," ",J$8),$F10-$E10,""))</f>
        <v/>
      </c>
      <c r="K10" s="199" t="str">
        <f>IF($D10="","",IF($D10=CONCATENATE(J$7," ",K$8),$F10-$E10,""))</f>
        <v/>
      </c>
      <c r="L10" s="155"/>
      <c r="M10" s="141"/>
      <c r="N10" s="200" t="str">
        <f t="shared" ref="N10:N32" si="1">IF($D10="","",IF($D10="PAX",$F10-$E10,""))</f>
        <v/>
      </c>
      <c r="O10" s="201" t="str">
        <f>IF(ISBLANK(F10), "", IF(F10-E10 &gt; TIME(0,9,30), 6, 1))</f>
        <v/>
      </c>
      <c r="P10" s="196" t="str">
        <f>IF($O10=P$9,F10-E10,"")</f>
        <v/>
      </c>
      <c r="Q10" s="197" t="str">
        <f>IF($O10=6,F10-E10,"")</f>
        <v/>
      </c>
      <c r="R10" s="198" t="str">
        <f>IF($O10=R$9,F10-E10,"")</f>
        <v/>
      </c>
      <c r="S10" s="159"/>
      <c r="T10" s="202"/>
    </row>
    <row r="11" spans="1:21" ht="15" x14ac:dyDescent="0.25">
      <c r="A11" s="184">
        <v>2</v>
      </c>
      <c r="B11" s="143"/>
      <c r="C11" s="143"/>
      <c r="D11" s="144"/>
      <c r="E11" s="145"/>
      <c r="F11" s="145"/>
      <c r="G11" s="203" t="str">
        <f>IF($D11="","",IF($D11=G$8,$F11-$E11,""))</f>
        <v/>
      </c>
      <c r="H11" s="204" t="str">
        <f>IF($D11="","",IF($D11=H$8,$F11-$E11,""))</f>
        <v/>
      </c>
      <c r="I11" s="205" t="str">
        <f t="shared" si="0"/>
        <v/>
      </c>
      <c r="J11" s="203" t="str">
        <f t="shared" ref="J11:J32" si="2">IF($D11="","",IF($D11=CONCATENATE(J$7," ",J$8),$F11-$E11,""))</f>
        <v/>
      </c>
      <c r="K11" s="206" t="str">
        <f t="shared" ref="K11:K32" si="3">IF($D11="","",IF($D11=CONCATENATE(J$7," ",K$8),$F11-$E11,""))</f>
        <v/>
      </c>
      <c r="L11" s="156"/>
      <c r="M11" s="144"/>
      <c r="N11" s="207" t="str">
        <f t="shared" si="1"/>
        <v/>
      </c>
      <c r="O11" s="208" t="str">
        <f t="shared" ref="O11:O32" si="4">IF(ISBLANK(F11), "", IF(F11-E11 &gt; TIME(0,9,30), 6, 1))</f>
        <v/>
      </c>
      <c r="P11" s="203" t="str">
        <f>IF($O11=P$9,F11-E11,"")</f>
        <v/>
      </c>
      <c r="Q11" s="204" t="str">
        <f>IF($O11=6,F11-E11,"")</f>
        <v/>
      </c>
      <c r="R11" s="205" t="str">
        <f t="shared" ref="R11:R32" si="5">IF($O11=R$9,F11-E11,"")</f>
        <v/>
      </c>
      <c r="S11" s="160"/>
      <c r="T11" s="209"/>
    </row>
    <row r="12" spans="1:21" ht="15" x14ac:dyDescent="0.25">
      <c r="A12" s="184">
        <v>3</v>
      </c>
      <c r="B12" s="143"/>
      <c r="C12" s="143"/>
      <c r="D12" s="144"/>
      <c r="E12" s="145"/>
      <c r="F12" s="145"/>
      <c r="G12" s="203" t="str">
        <f t="shared" ref="G12:G32" si="6">IF($D12="","",IF($D12=G$8,$F12-$E12,""))</f>
        <v/>
      </c>
      <c r="H12" s="204" t="str">
        <f t="shared" si="0"/>
        <v/>
      </c>
      <c r="I12" s="205" t="str">
        <f t="shared" si="0"/>
        <v/>
      </c>
      <c r="J12" s="203" t="str">
        <f t="shared" si="2"/>
        <v/>
      </c>
      <c r="K12" s="210" t="str">
        <f t="shared" si="3"/>
        <v/>
      </c>
      <c r="L12" s="156"/>
      <c r="M12" s="144"/>
      <c r="N12" s="207" t="str">
        <f t="shared" si="1"/>
        <v/>
      </c>
      <c r="O12" s="208" t="str">
        <f t="shared" si="4"/>
        <v/>
      </c>
      <c r="P12" s="203" t="str">
        <f t="shared" ref="P12:P32" si="7">IF($O12=P$9,F12-E12,"")</f>
        <v/>
      </c>
      <c r="Q12" s="204" t="str">
        <f t="shared" ref="Q12:Q32" si="8">IF($O12=6,F12-E12,"")</f>
        <v/>
      </c>
      <c r="R12" s="205" t="str">
        <f t="shared" si="5"/>
        <v/>
      </c>
      <c r="S12" s="160"/>
      <c r="T12" s="209"/>
    </row>
    <row r="13" spans="1:21" ht="15" x14ac:dyDescent="0.25">
      <c r="A13" s="184">
        <v>4</v>
      </c>
      <c r="B13" s="143"/>
      <c r="C13" s="143"/>
      <c r="D13" s="144"/>
      <c r="E13" s="145"/>
      <c r="F13" s="145"/>
      <c r="G13" s="203"/>
      <c r="H13" s="204"/>
      <c r="I13" s="205"/>
      <c r="J13" s="203"/>
      <c r="K13" s="210"/>
      <c r="L13" s="156"/>
      <c r="M13" s="144"/>
      <c r="N13" s="207"/>
      <c r="O13" s="208"/>
      <c r="P13" s="203"/>
      <c r="Q13" s="204"/>
      <c r="R13" s="205" t="str">
        <f t="shared" si="5"/>
        <v/>
      </c>
      <c r="S13" s="160"/>
      <c r="T13" s="209"/>
    </row>
    <row r="14" spans="1:21" ht="15.75" thickBot="1" x14ac:dyDescent="0.3">
      <c r="A14" s="211">
        <v>5</v>
      </c>
      <c r="B14" s="146"/>
      <c r="C14" s="146"/>
      <c r="D14" s="147"/>
      <c r="E14" s="148"/>
      <c r="F14" s="148"/>
      <c r="G14" s="212" t="str">
        <f t="shared" si="6"/>
        <v/>
      </c>
      <c r="H14" s="213" t="str">
        <f t="shared" si="0"/>
        <v/>
      </c>
      <c r="I14" s="214" t="str">
        <f t="shared" si="0"/>
        <v/>
      </c>
      <c r="J14" s="212" t="str">
        <f t="shared" si="2"/>
        <v/>
      </c>
      <c r="K14" s="215" t="str">
        <f t="shared" si="3"/>
        <v/>
      </c>
      <c r="L14" s="157"/>
      <c r="M14" s="147"/>
      <c r="N14" s="216" t="str">
        <f t="shared" si="1"/>
        <v/>
      </c>
      <c r="O14" s="217" t="str">
        <f t="shared" si="4"/>
        <v/>
      </c>
      <c r="P14" s="212" t="str">
        <f t="shared" si="7"/>
        <v/>
      </c>
      <c r="Q14" s="213" t="str">
        <f t="shared" si="8"/>
        <v/>
      </c>
      <c r="R14" s="214" t="str">
        <f t="shared" si="5"/>
        <v/>
      </c>
      <c r="S14" s="161"/>
      <c r="T14" s="218"/>
    </row>
    <row r="15" spans="1:21" ht="15" x14ac:dyDescent="0.25">
      <c r="A15" s="195">
        <v>6</v>
      </c>
      <c r="B15" s="140"/>
      <c r="C15" s="140"/>
      <c r="D15" s="141"/>
      <c r="E15" s="142"/>
      <c r="F15" s="142"/>
      <c r="G15" s="196" t="str">
        <f t="shared" si="6"/>
        <v/>
      </c>
      <c r="H15" s="197" t="str">
        <f t="shared" si="0"/>
        <v/>
      </c>
      <c r="I15" s="198" t="str">
        <f t="shared" si="0"/>
        <v/>
      </c>
      <c r="J15" s="196" t="str">
        <f t="shared" si="2"/>
        <v/>
      </c>
      <c r="K15" s="199" t="str">
        <f t="shared" si="3"/>
        <v/>
      </c>
      <c r="L15" s="155"/>
      <c r="M15" s="141"/>
      <c r="N15" s="200" t="str">
        <f t="shared" si="1"/>
        <v/>
      </c>
      <c r="O15" s="219" t="str">
        <f t="shared" si="4"/>
        <v/>
      </c>
      <c r="P15" s="196" t="str">
        <f t="shared" si="7"/>
        <v/>
      </c>
      <c r="Q15" s="197" t="str">
        <f t="shared" si="8"/>
        <v/>
      </c>
      <c r="R15" s="198" t="str">
        <f t="shared" si="5"/>
        <v/>
      </c>
      <c r="S15" s="159"/>
      <c r="T15" s="202"/>
    </row>
    <row r="16" spans="1:21" ht="15" x14ac:dyDescent="0.25">
      <c r="A16" s="184">
        <v>7</v>
      </c>
      <c r="B16" s="143"/>
      <c r="C16" s="143"/>
      <c r="D16" s="144"/>
      <c r="E16" s="145"/>
      <c r="F16" s="145"/>
      <c r="G16" s="203" t="str">
        <f t="shared" si="6"/>
        <v/>
      </c>
      <c r="H16" s="204" t="str">
        <f t="shared" si="0"/>
        <v/>
      </c>
      <c r="I16" s="205" t="str">
        <f t="shared" si="0"/>
        <v/>
      </c>
      <c r="J16" s="203" t="str">
        <f t="shared" si="2"/>
        <v/>
      </c>
      <c r="K16" s="210" t="str">
        <f t="shared" si="3"/>
        <v/>
      </c>
      <c r="L16" s="156"/>
      <c r="M16" s="144"/>
      <c r="N16" s="207" t="str">
        <f t="shared" si="1"/>
        <v/>
      </c>
      <c r="O16" s="208" t="str">
        <f t="shared" si="4"/>
        <v/>
      </c>
      <c r="P16" s="203" t="str">
        <f t="shared" si="7"/>
        <v/>
      </c>
      <c r="Q16" s="204" t="str">
        <f t="shared" si="8"/>
        <v/>
      </c>
      <c r="R16" s="205" t="str">
        <f t="shared" si="5"/>
        <v/>
      </c>
      <c r="S16" s="160"/>
      <c r="T16" s="209"/>
    </row>
    <row r="17" spans="1:20" ht="15" x14ac:dyDescent="0.25">
      <c r="A17" s="184">
        <v>8</v>
      </c>
      <c r="B17" s="143"/>
      <c r="C17" s="143"/>
      <c r="D17" s="144"/>
      <c r="E17" s="145"/>
      <c r="F17" s="145"/>
      <c r="G17" s="203" t="str">
        <f t="shared" si="6"/>
        <v/>
      </c>
      <c r="H17" s="204" t="str">
        <f t="shared" si="0"/>
        <v/>
      </c>
      <c r="I17" s="205" t="str">
        <f t="shared" si="0"/>
        <v/>
      </c>
      <c r="J17" s="203" t="str">
        <f t="shared" si="2"/>
        <v/>
      </c>
      <c r="K17" s="210" t="str">
        <f t="shared" si="3"/>
        <v/>
      </c>
      <c r="L17" s="156"/>
      <c r="M17" s="144"/>
      <c r="N17" s="207" t="str">
        <f t="shared" si="1"/>
        <v/>
      </c>
      <c r="O17" s="208" t="str">
        <f t="shared" si="4"/>
        <v/>
      </c>
      <c r="P17" s="203" t="str">
        <f t="shared" si="7"/>
        <v/>
      </c>
      <c r="Q17" s="204" t="str">
        <f t="shared" si="8"/>
        <v/>
      </c>
      <c r="R17" s="205" t="str">
        <f t="shared" si="5"/>
        <v/>
      </c>
      <c r="S17" s="160"/>
      <c r="T17" s="209"/>
    </row>
    <row r="18" spans="1:20" ht="15" x14ac:dyDescent="0.25">
      <c r="A18" s="184">
        <v>9</v>
      </c>
      <c r="B18" s="143"/>
      <c r="C18" s="143"/>
      <c r="D18" s="144"/>
      <c r="E18" s="145"/>
      <c r="F18" s="145"/>
      <c r="G18" s="203" t="str">
        <f t="shared" si="6"/>
        <v/>
      </c>
      <c r="H18" s="204" t="str">
        <f t="shared" si="0"/>
        <v/>
      </c>
      <c r="I18" s="205" t="str">
        <f t="shared" si="0"/>
        <v/>
      </c>
      <c r="J18" s="203" t="str">
        <f t="shared" si="2"/>
        <v/>
      </c>
      <c r="K18" s="210" t="str">
        <f t="shared" si="3"/>
        <v/>
      </c>
      <c r="L18" s="156"/>
      <c r="M18" s="144"/>
      <c r="N18" s="207" t="str">
        <f t="shared" si="1"/>
        <v/>
      </c>
      <c r="O18" s="208" t="str">
        <f t="shared" si="4"/>
        <v/>
      </c>
      <c r="P18" s="203" t="str">
        <f t="shared" si="7"/>
        <v/>
      </c>
      <c r="Q18" s="204" t="str">
        <f t="shared" si="8"/>
        <v/>
      </c>
      <c r="R18" s="205" t="str">
        <f t="shared" si="5"/>
        <v/>
      </c>
      <c r="S18" s="160"/>
      <c r="T18" s="209"/>
    </row>
    <row r="19" spans="1:20" ht="15.75" thickBot="1" x14ac:dyDescent="0.3">
      <c r="A19" s="211">
        <v>10</v>
      </c>
      <c r="B19" s="146"/>
      <c r="C19" s="146"/>
      <c r="D19" s="147"/>
      <c r="E19" s="148"/>
      <c r="F19" s="148"/>
      <c r="G19" s="212" t="str">
        <f t="shared" si="6"/>
        <v/>
      </c>
      <c r="H19" s="213" t="str">
        <f t="shared" si="0"/>
        <v/>
      </c>
      <c r="I19" s="214" t="str">
        <f t="shared" si="0"/>
        <v/>
      </c>
      <c r="J19" s="212" t="str">
        <f t="shared" si="2"/>
        <v/>
      </c>
      <c r="K19" s="215" t="str">
        <f t="shared" si="3"/>
        <v/>
      </c>
      <c r="L19" s="157"/>
      <c r="M19" s="147"/>
      <c r="N19" s="216" t="str">
        <f t="shared" si="1"/>
        <v/>
      </c>
      <c r="O19" s="220" t="str">
        <f>IF(ISBLANK(F19), "", IF(F19-E19 &gt; TIME(0,9,30), 6, 1))</f>
        <v/>
      </c>
      <c r="P19" s="212" t="str">
        <f t="shared" si="7"/>
        <v/>
      </c>
      <c r="Q19" s="213" t="str">
        <f t="shared" si="8"/>
        <v/>
      </c>
      <c r="R19" s="214" t="str">
        <f t="shared" si="5"/>
        <v/>
      </c>
      <c r="S19" s="161"/>
      <c r="T19" s="218"/>
    </row>
    <row r="20" spans="1:20" ht="15" x14ac:dyDescent="0.25">
      <c r="A20" s="195">
        <v>11</v>
      </c>
      <c r="B20" s="140"/>
      <c r="C20" s="140"/>
      <c r="D20" s="141"/>
      <c r="E20" s="142"/>
      <c r="F20" s="142"/>
      <c r="G20" s="196" t="str">
        <f t="shared" si="6"/>
        <v/>
      </c>
      <c r="H20" s="197" t="str">
        <f t="shared" si="0"/>
        <v/>
      </c>
      <c r="I20" s="198" t="str">
        <f t="shared" si="0"/>
        <v/>
      </c>
      <c r="J20" s="196" t="str">
        <f t="shared" si="2"/>
        <v/>
      </c>
      <c r="K20" s="199" t="str">
        <f t="shared" si="3"/>
        <v/>
      </c>
      <c r="L20" s="155"/>
      <c r="M20" s="141"/>
      <c r="N20" s="200" t="str">
        <f t="shared" si="1"/>
        <v/>
      </c>
      <c r="O20" s="201" t="str">
        <f t="shared" si="4"/>
        <v/>
      </c>
      <c r="P20" s="196" t="str">
        <f t="shared" si="7"/>
        <v/>
      </c>
      <c r="Q20" s="197" t="str">
        <f t="shared" si="8"/>
        <v/>
      </c>
      <c r="R20" s="198" t="str">
        <f t="shared" si="5"/>
        <v/>
      </c>
      <c r="S20" s="159"/>
      <c r="T20" s="202"/>
    </row>
    <row r="21" spans="1:20" ht="15" x14ac:dyDescent="0.25">
      <c r="A21" s="184">
        <v>12</v>
      </c>
      <c r="B21" s="143"/>
      <c r="C21" s="143"/>
      <c r="D21" s="144"/>
      <c r="E21" s="145"/>
      <c r="F21" s="145"/>
      <c r="G21" s="203" t="str">
        <f t="shared" si="6"/>
        <v/>
      </c>
      <c r="H21" s="204" t="str">
        <f t="shared" si="0"/>
        <v/>
      </c>
      <c r="I21" s="205" t="str">
        <f t="shared" si="0"/>
        <v/>
      </c>
      <c r="J21" s="203" t="str">
        <f t="shared" si="2"/>
        <v/>
      </c>
      <c r="K21" s="210" t="str">
        <f t="shared" si="3"/>
        <v/>
      </c>
      <c r="L21" s="156"/>
      <c r="M21" s="144"/>
      <c r="N21" s="207" t="str">
        <f t="shared" si="1"/>
        <v/>
      </c>
      <c r="O21" s="208" t="str">
        <f t="shared" si="4"/>
        <v/>
      </c>
      <c r="P21" s="203" t="str">
        <f t="shared" si="7"/>
        <v/>
      </c>
      <c r="Q21" s="204" t="str">
        <f t="shared" si="8"/>
        <v/>
      </c>
      <c r="R21" s="205" t="str">
        <f t="shared" si="5"/>
        <v/>
      </c>
      <c r="S21" s="160"/>
      <c r="T21" s="209"/>
    </row>
    <row r="22" spans="1:20" ht="15" x14ac:dyDescent="0.25">
      <c r="A22" s="184">
        <v>13</v>
      </c>
      <c r="B22" s="143"/>
      <c r="C22" s="143"/>
      <c r="D22" s="144"/>
      <c r="E22" s="145"/>
      <c r="F22" s="145"/>
      <c r="G22" s="203" t="str">
        <f t="shared" si="6"/>
        <v/>
      </c>
      <c r="H22" s="204" t="str">
        <f t="shared" si="0"/>
        <v/>
      </c>
      <c r="I22" s="205" t="str">
        <f t="shared" si="0"/>
        <v/>
      </c>
      <c r="J22" s="203" t="str">
        <f t="shared" si="2"/>
        <v/>
      </c>
      <c r="K22" s="210" t="str">
        <f t="shared" si="3"/>
        <v/>
      </c>
      <c r="L22" s="156"/>
      <c r="M22" s="144"/>
      <c r="N22" s="207" t="str">
        <f t="shared" si="1"/>
        <v/>
      </c>
      <c r="O22" s="208" t="str">
        <f t="shared" si="4"/>
        <v/>
      </c>
      <c r="P22" s="203" t="str">
        <f t="shared" si="7"/>
        <v/>
      </c>
      <c r="Q22" s="204" t="str">
        <f t="shared" si="8"/>
        <v/>
      </c>
      <c r="R22" s="205" t="str">
        <f t="shared" si="5"/>
        <v/>
      </c>
      <c r="S22" s="160"/>
      <c r="T22" s="209"/>
    </row>
    <row r="23" spans="1:20" ht="15" x14ac:dyDescent="0.25">
      <c r="A23" s="184">
        <v>14</v>
      </c>
      <c r="B23" s="143"/>
      <c r="C23" s="143"/>
      <c r="D23" s="144"/>
      <c r="E23" s="145"/>
      <c r="F23" s="145"/>
      <c r="G23" s="203" t="str">
        <f t="shared" si="6"/>
        <v/>
      </c>
      <c r="H23" s="204" t="str">
        <f t="shared" si="0"/>
        <v/>
      </c>
      <c r="I23" s="205" t="str">
        <f t="shared" si="0"/>
        <v/>
      </c>
      <c r="J23" s="203" t="str">
        <f t="shared" si="2"/>
        <v/>
      </c>
      <c r="K23" s="210" t="str">
        <f t="shared" si="3"/>
        <v/>
      </c>
      <c r="L23" s="156"/>
      <c r="M23" s="144"/>
      <c r="N23" s="207" t="str">
        <f t="shared" si="1"/>
        <v/>
      </c>
      <c r="O23" s="208" t="str">
        <f t="shared" si="4"/>
        <v/>
      </c>
      <c r="P23" s="203" t="str">
        <f t="shared" si="7"/>
        <v/>
      </c>
      <c r="Q23" s="204" t="str">
        <f t="shared" si="8"/>
        <v/>
      </c>
      <c r="R23" s="205" t="str">
        <f t="shared" si="5"/>
        <v/>
      </c>
      <c r="S23" s="160"/>
      <c r="T23" s="209"/>
    </row>
    <row r="24" spans="1:20" ht="15.75" thickBot="1" x14ac:dyDescent="0.3">
      <c r="A24" s="211">
        <v>15</v>
      </c>
      <c r="B24" s="146"/>
      <c r="C24" s="146"/>
      <c r="D24" s="147"/>
      <c r="E24" s="148"/>
      <c r="F24" s="148"/>
      <c r="G24" s="212" t="str">
        <f t="shared" si="6"/>
        <v/>
      </c>
      <c r="H24" s="213" t="str">
        <f t="shared" si="0"/>
        <v/>
      </c>
      <c r="I24" s="214" t="str">
        <f t="shared" si="0"/>
        <v/>
      </c>
      <c r="J24" s="212" t="str">
        <f t="shared" si="2"/>
        <v/>
      </c>
      <c r="K24" s="215" t="str">
        <f t="shared" si="3"/>
        <v/>
      </c>
      <c r="L24" s="157"/>
      <c r="M24" s="147"/>
      <c r="N24" s="216" t="str">
        <f t="shared" si="1"/>
        <v/>
      </c>
      <c r="O24" s="220" t="str">
        <f t="shared" si="4"/>
        <v/>
      </c>
      <c r="P24" s="212" t="str">
        <f t="shared" si="7"/>
        <v/>
      </c>
      <c r="Q24" s="213" t="str">
        <f t="shared" si="8"/>
        <v/>
      </c>
      <c r="R24" s="214" t="str">
        <f t="shared" si="5"/>
        <v/>
      </c>
      <c r="S24" s="161"/>
      <c r="T24" s="218"/>
    </row>
    <row r="25" spans="1:20" ht="15" x14ac:dyDescent="0.25">
      <c r="A25" s="195">
        <v>16</v>
      </c>
      <c r="B25" s="140"/>
      <c r="C25" s="140"/>
      <c r="D25" s="141"/>
      <c r="E25" s="142"/>
      <c r="F25" s="142"/>
      <c r="G25" s="196" t="str">
        <f t="shared" si="6"/>
        <v/>
      </c>
      <c r="H25" s="197" t="str">
        <f t="shared" si="0"/>
        <v/>
      </c>
      <c r="I25" s="198" t="str">
        <f t="shared" si="0"/>
        <v/>
      </c>
      <c r="J25" s="196" t="str">
        <f t="shared" si="2"/>
        <v/>
      </c>
      <c r="K25" s="199" t="str">
        <f t="shared" si="3"/>
        <v/>
      </c>
      <c r="L25" s="155"/>
      <c r="M25" s="141"/>
      <c r="N25" s="200" t="str">
        <f t="shared" si="1"/>
        <v/>
      </c>
      <c r="O25" s="201" t="str">
        <f t="shared" si="4"/>
        <v/>
      </c>
      <c r="P25" s="196" t="str">
        <f t="shared" si="7"/>
        <v/>
      </c>
      <c r="Q25" s="197" t="str">
        <f t="shared" si="8"/>
        <v/>
      </c>
      <c r="R25" s="198" t="str">
        <f t="shared" si="5"/>
        <v/>
      </c>
      <c r="S25" s="159"/>
      <c r="T25" s="202"/>
    </row>
    <row r="26" spans="1:20" ht="15" x14ac:dyDescent="0.25">
      <c r="A26" s="184">
        <v>17</v>
      </c>
      <c r="B26" s="143"/>
      <c r="C26" s="143"/>
      <c r="D26" s="144"/>
      <c r="E26" s="145"/>
      <c r="F26" s="145"/>
      <c r="G26" s="203" t="str">
        <f t="shared" si="6"/>
        <v/>
      </c>
      <c r="H26" s="204" t="str">
        <f t="shared" ref="H26:I32" si="9">IF($D26="","",IF($D26=H$8,$F26-$E26,""))</f>
        <v/>
      </c>
      <c r="I26" s="205" t="str">
        <f t="shared" si="9"/>
        <v/>
      </c>
      <c r="J26" s="203" t="str">
        <f t="shared" si="2"/>
        <v/>
      </c>
      <c r="K26" s="210" t="str">
        <f t="shared" si="3"/>
        <v/>
      </c>
      <c r="L26" s="156"/>
      <c r="M26" s="144"/>
      <c r="N26" s="207" t="str">
        <f t="shared" si="1"/>
        <v/>
      </c>
      <c r="O26" s="208" t="str">
        <f t="shared" si="4"/>
        <v/>
      </c>
      <c r="P26" s="203" t="str">
        <f t="shared" si="7"/>
        <v/>
      </c>
      <c r="Q26" s="204" t="str">
        <f t="shared" si="8"/>
        <v/>
      </c>
      <c r="R26" s="205" t="str">
        <f t="shared" si="5"/>
        <v/>
      </c>
      <c r="S26" s="160"/>
      <c r="T26" s="209"/>
    </row>
    <row r="27" spans="1:20" ht="15" x14ac:dyDescent="0.25">
      <c r="A27" s="184">
        <v>18</v>
      </c>
      <c r="B27" s="143"/>
      <c r="C27" s="143"/>
      <c r="D27" s="144"/>
      <c r="E27" s="145"/>
      <c r="F27" s="145"/>
      <c r="G27" s="203" t="str">
        <f t="shared" si="6"/>
        <v/>
      </c>
      <c r="H27" s="204" t="str">
        <f t="shared" si="9"/>
        <v/>
      </c>
      <c r="I27" s="205" t="str">
        <f t="shared" si="9"/>
        <v/>
      </c>
      <c r="J27" s="203" t="str">
        <f t="shared" si="2"/>
        <v/>
      </c>
      <c r="K27" s="210" t="str">
        <f t="shared" si="3"/>
        <v/>
      </c>
      <c r="L27" s="156"/>
      <c r="M27" s="144"/>
      <c r="N27" s="207" t="str">
        <f t="shared" si="1"/>
        <v/>
      </c>
      <c r="O27" s="208" t="str">
        <f t="shared" si="4"/>
        <v/>
      </c>
      <c r="P27" s="203" t="str">
        <f t="shared" si="7"/>
        <v/>
      </c>
      <c r="Q27" s="204" t="str">
        <f t="shared" si="8"/>
        <v/>
      </c>
      <c r="R27" s="205" t="str">
        <f t="shared" si="5"/>
        <v/>
      </c>
      <c r="S27" s="160"/>
      <c r="T27" s="209"/>
    </row>
    <row r="28" spans="1:20" ht="15" x14ac:dyDescent="0.25">
      <c r="A28" s="184">
        <v>19</v>
      </c>
      <c r="B28" s="143"/>
      <c r="C28" s="143"/>
      <c r="D28" s="144"/>
      <c r="E28" s="145"/>
      <c r="F28" s="145"/>
      <c r="G28" s="203" t="str">
        <f t="shared" si="6"/>
        <v/>
      </c>
      <c r="H28" s="204" t="str">
        <f t="shared" si="9"/>
        <v/>
      </c>
      <c r="I28" s="205" t="str">
        <f t="shared" si="9"/>
        <v/>
      </c>
      <c r="J28" s="203" t="str">
        <f t="shared" si="2"/>
        <v/>
      </c>
      <c r="K28" s="210" t="str">
        <f t="shared" si="3"/>
        <v/>
      </c>
      <c r="L28" s="156"/>
      <c r="M28" s="144"/>
      <c r="N28" s="207" t="str">
        <f t="shared" si="1"/>
        <v/>
      </c>
      <c r="O28" s="208" t="str">
        <f t="shared" si="4"/>
        <v/>
      </c>
      <c r="P28" s="203" t="str">
        <f t="shared" si="7"/>
        <v/>
      </c>
      <c r="Q28" s="204" t="str">
        <f t="shared" si="8"/>
        <v/>
      </c>
      <c r="R28" s="205" t="str">
        <f t="shared" si="5"/>
        <v/>
      </c>
      <c r="S28" s="160"/>
      <c r="T28" s="209"/>
    </row>
    <row r="29" spans="1:20" ht="15.75" thickBot="1" x14ac:dyDescent="0.3">
      <c r="A29" s="211">
        <v>20</v>
      </c>
      <c r="B29" s="146"/>
      <c r="C29" s="146"/>
      <c r="D29" s="147"/>
      <c r="E29" s="148"/>
      <c r="F29" s="148"/>
      <c r="G29" s="212" t="str">
        <f t="shared" si="6"/>
        <v/>
      </c>
      <c r="H29" s="213" t="str">
        <f t="shared" si="9"/>
        <v/>
      </c>
      <c r="I29" s="214" t="str">
        <f t="shared" si="9"/>
        <v/>
      </c>
      <c r="J29" s="212" t="str">
        <f t="shared" si="2"/>
        <v/>
      </c>
      <c r="K29" s="215" t="str">
        <f t="shared" si="3"/>
        <v/>
      </c>
      <c r="L29" s="157"/>
      <c r="M29" s="147"/>
      <c r="N29" s="216" t="str">
        <f t="shared" si="1"/>
        <v/>
      </c>
      <c r="O29" s="220" t="str">
        <f t="shared" si="4"/>
        <v/>
      </c>
      <c r="P29" s="212" t="str">
        <f t="shared" si="7"/>
        <v/>
      </c>
      <c r="Q29" s="213" t="str">
        <f t="shared" si="8"/>
        <v/>
      </c>
      <c r="R29" s="214" t="str">
        <f t="shared" si="5"/>
        <v/>
      </c>
      <c r="S29" s="161"/>
      <c r="T29" s="218"/>
    </row>
    <row r="30" spans="1:20" ht="15" x14ac:dyDescent="0.25">
      <c r="A30" s="195">
        <v>21</v>
      </c>
      <c r="B30" s="140"/>
      <c r="C30" s="140"/>
      <c r="D30" s="141"/>
      <c r="E30" s="142"/>
      <c r="F30" s="142"/>
      <c r="G30" s="196" t="str">
        <f t="shared" si="6"/>
        <v/>
      </c>
      <c r="H30" s="197" t="str">
        <f t="shared" si="9"/>
        <v/>
      </c>
      <c r="I30" s="198" t="str">
        <f t="shared" si="9"/>
        <v/>
      </c>
      <c r="J30" s="196" t="str">
        <f t="shared" si="2"/>
        <v/>
      </c>
      <c r="K30" s="199" t="str">
        <f t="shared" si="3"/>
        <v/>
      </c>
      <c r="L30" s="155"/>
      <c r="M30" s="141"/>
      <c r="N30" s="200" t="str">
        <f t="shared" si="1"/>
        <v/>
      </c>
      <c r="O30" s="201" t="str">
        <f t="shared" si="4"/>
        <v/>
      </c>
      <c r="P30" s="196" t="str">
        <f t="shared" si="7"/>
        <v/>
      </c>
      <c r="Q30" s="197" t="str">
        <f t="shared" si="8"/>
        <v/>
      </c>
      <c r="R30" s="198" t="str">
        <f t="shared" si="5"/>
        <v/>
      </c>
      <c r="S30" s="159"/>
      <c r="T30" s="202"/>
    </row>
    <row r="31" spans="1:20" ht="15" x14ac:dyDescent="0.25">
      <c r="A31" s="184">
        <v>22</v>
      </c>
      <c r="B31" s="143"/>
      <c r="C31" s="143"/>
      <c r="D31" s="144"/>
      <c r="E31" s="145"/>
      <c r="F31" s="145"/>
      <c r="G31" s="203" t="str">
        <f t="shared" si="6"/>
        <v/>
      </c>
      <c r="H31" s="204" t="str">
        <f t="shared" si="9"/>
        <v/>
      </c>
      <c r="I31" s="205" t="str">
        <f t="shared" si="9"/>
        <v/>
      </c>
      <c r="J31" s="203" t="str">
        <f t="shared" si="2"/>
        <v/>
      </c>
      <c r="K31" s="210" t="str">
        <f t="shared" si="3"/>
        <v/>
      </c>
      <c r="L31" s="156"/>
      <c r="M31" s="144"/>
      <c r="N31" s="207" t="str">
        <f t="shared" si="1"/>
        <v/>
      </c>
      <c r="O31" s="208" t="str">
        <f t="shared" si="4"/>
        <v/>
      </c>
      <c r="P31" s="203" t="str">
        <f t="shared" si="7"/>
        <v/>
      </c>
      <c r="Q31" s="204" t="str">
        <f t="shared" si="8"/>
        <v/>
      </c>
      <c r="R31" s="205" t="str">
        <f t="shared" si="5"/>
        <v/>
      </c>
      <c r="S31" s="160"/>
      <c r="T31" s="209"/>
    </row>
    <row r="32" spans="1:20" ht="15.75" thickBot="1" x14ac:dyDescent="0.3">
      <c r="A32" s="211">
        <v>23</v>
      </c>
      <c r="B32" s="146"/>
      <c r="C32" s="146"/>
      <c r="D32" s="147"/>
      <c r="E32" s="148"/>
      <c r="F32" s="148"/>
      <c r="G32" s="212" t="str">
        <f t="shared" si="6"/>
        <v/>
      </c>
      <c r="H32" s="213" t="str">
        <f t="shared" si="9"/>
        <v/>
      </c>
      <c r="I32" s="214" t="str">
        <f t="shared" si="9"/>
        <v/>
      </c>
      <c r="J32" s="212" t="str">
        <f t="shared" si="2"/>
        <v/>
      </c>
      <c r="K32" s="215" t="str">
        <f t="shared" si="3"/>
        <v/>
      </c>
      <c r="L32" s="157"/>
      <c r="M32" s="147"/>
      <c r="N32" s="216" t="str">
        <f t="shared" si="1"/>
        <v/>
      </c>
      <c r="O32" s="220" t="str">
        <f t="shared" si="4"/>
        <v/>
      </c>
      <c r="P32" s="212" t="str">
        <f t="shared" si="7"/>
        <v/>
      </c>
      <c r="Q32" s="213" t="str">
        <f t="shared" si="8"/>
        <v/>
      </c>
      <c r="R32" s="214" t="str">
        <f t="shared" si="5"/>
        <v/>
      </c>
      <c r="S32" s="161"/>
      <c r="T32" s="218"/>
    </row>
    <row r="33" spans="1:21" ht="15" x14ac:dyDescent="0.25">
      <c r="A33" s="221">
        <v>24</v>
      </c>
      <c r="B33" s="139"/>
      <c r="C33" s="140"/>
      <c r="D33" s="141"/>
      <c r="E33" s="142"/>
      <c r="F33" s="142"/>
      <c r="G33" s="196" t="str">
        <f>IF($D33="","",IF($D33=G$8,$F33-$E33,""))</f>
        <v/>
      </c>
      <c r="H33" s="197" t="str">
        <f>IF($D33="","",IF($D33=H$8,$F33-$E33,""))</f>
        <v/>
      </c>
      <c r="I33" s="198" t="str">
        <f>IF($D33="","",IF($D33=I$8,$F33-$E33,""))</f>
        <v/>
      </c>
      <c r="J33" s="196" t="str">
        <f>IF($D33="","",IF($D33=CONCATENATE(J$7," ",J$8),$F33-$E33,""))</f>
        <v/>
      </c>
      <c r="K33" s="199" t="str">
        <f>IF($D33="","",IF($D33=CONCATENATE(J$7," ",K$8),$F33-$E33,""))</f>
        <v/>
      </c>
      <c r="L33" s="155"/>
      <c r="M33" s="141"/>
      <c r="N33" s="200" t="str">
        <f t="shared" ref="N33:N41" si="10">IF($D33="","",IF($D33="PAX",$F33-$E33,""))</f>
        <v/>
      </c>
      <c r="O33" s="201" t="str">
        <f>IF(ISBLANK(F33), "", IF(F33-E33 &gt; TIME(0,9,30), 6, 1))</f>
        <v/>
      </c>
      <c r="P33" s="196" t="str">
        <f>IF($O33=P$9,F33-E33,"")</f>
        <v/>
      </c>
      <c r="Q33" s="197" t="str">
        <f>IF($O33=6,F33-E33,"")</f>
        <v/>
      </c>
      <c r="R33" s="198" t="str">
        <f>IF($O33=R$9,F33-E33,"")</f>
        <v/>
      </c>
      <c r="S33" s="159"/>
      <c r="T33" s="202"/>
    </row>
    <row r="34" spans="1:21" ht="15" x14ac:dyDescent="0.25">
      <c r="A34" s="222">
        <v>25</v>
      </c>
      <c r="B34" s="149"/>
      <c r="C34" s="143"/>
      <c r="D34" s="144"/>
      <c r="E34" s="145"/>
      <c r="F34" s="145"/>
      <c r="G34" s="203" t="str">
        <f t="shared" ref="G34:G41" si="11">IF($D34="","",IF($D34=G$8,$F34-$E34,""))</f>
        <v/>
      </c>
      <c r="H34" s="204" t="str">
        <f t="shared" ref="H34:I41" si="12">IF($D34="","",IF($D34=H$8,$F34-$E34,""))</f>
        <v/>
      </c>
      <c r="I34" s="205" t="str">
        <f t="shared" si="12"/>
        <v/>
      </c>
      <c r="J34" s="203" t="str">
        <f t="shared" ref="J34:J41" si="13">IF($D34="","",IF($D34=CONCATENATE(J$7," ",J$8),$F34-$E34,""))</f>
        <v/>
      </c>
      <c r="K34" s="210" t="str">
        <f t="shared" ref="K34:K41" si="14">IF($D34="","",IF($D34=CONCATENATE(J$7," ",K$8),$F34-$E34,""))</f>
        <v/>
      </c>
      <c r="L34" s="156"/>
      <c r="M34" s="144"/>
      <c r="N34" s="207" t="str">
        <f>IF($D34="","",IF($D34="PAX",$F34-$E34,""))</f>
        <v/>
      </c>
      <c r="O34" s="208" t="str">
        <f t="shared" ref="O34:O41" si="15">IF(ISBLANK(F34), "", IF(F34-E34 &gt; TIME(0,9,30), 6, 1))</f>
        <v/>
      </c>
      <c r="P34" s="203" t="str">
        <f t="shared" ref="P34:P41" si="16">IF($O34=P$9,F34-E34,"")</f>
        <v/>
      </c>
      <c r="Q34" s="204" t="str">
        <f t="shared" ref="Q34:Q41" si="17">IF($O34=6,F34-E34,"")</f>
        <v/>
      </c>
      <c r="R34" s="205" t="str">
        <f t="shared" ref="R34:R41" si="18">IF($O34=R$9,F34-E34,"")</f>
        <v/>
      </c>
      <c r="S34" s="160"/>
      <c r="T34" s="209"/>
    </row>
    <row r="35" spans="1:21" ht="15" x14ac:dyDescent="0.25">
      <c r="A35" s="222">
        <v>26</v>
      </c>
      <c r="B35" s="149"/>
      <c r="C35" s="143"/>
      <c r="D35" s="144"/>
      <c r="E35" s="145"/>
      <c r="F35" s="145"/>
      <c r="G35" s="203" t="str">
        <f t="shared" si="11"/>
        <v/>
      </c>
      <c r="H35" s="204" t="str">
        <f t="shared" si="12"/>
        <v/>
      </c>
      <c r="I35" s="205" t="str">
        <f t="shared" si="12"/>
        <v/>
      </c>
      <c r="J35" s="203" t="str">
        <f t="shared" si="13"/>
        <v/>
      </c>
      <c r="K35" s="210" t="str">
        <f t="shared" si="14"/>
        <v/>
      </c>
      <c r="L35" s="156"/>
      <c r="M35" s="144"/>
      <c r="N35" s="207" t="str">
        <f t="shared" si="10"/>
        <v/>
      </c>
      <c r="O35" s="208" t="str">
        <f t="shared" si="15"/>
        <v/>
      </c>
      <c r="P35" s="203" t="str">
        <f t="shared" si="16"/>
        <v/>
      </c>
      <c r="Q35" s="204" t="str">
        <f t="shared" si="17"/>
        <v/>
      </c>
      <c r="R35" s="205" t="str">
        <f t="shared" si="18"/>
        <v/>
      </c>
      <c r="S35" s="160"/>
      <c r="T35" s="209"/>
    </row>
    <row r="36" spans="1:21" ht="15" x14ac:dyDescent="0.25">
      <c r="A36" s="222">
        <v>27</v>
      </c>
      <c r="B36" s="149"/>
      <c r="C36" s="143"/>
      <c r="D36" s="144"/>
      <c r="E36" s="145"/>
      <c r="F36" s="145"/>
      <c r="G36" s="203" t="str">
        <f t="shared" si="11"/>
        <v/>
      </c>
      <c r="H36" s="204" t="str">
        <f t="shared" si="12"/>
        <v/>
      </c>
      <c r="I36" s="205" t="str">
        <f t="shared" si="12"/>
        <v/>
      </c>
      <c r="J36" s="203" t="str">
        <f t="shared" si="13"/>
        <v/>
      </c>
      <c r="K36" s="210" t="str">
        <f t="shared" si="14"/>
        <v/>
      </c>
      <c r="L36" s="156"/>
      <c r="M36" s="144"/>
      <c r="N36" s="207" t="str">
        <f t="shared" si="10"/>
        <v/>
      </c>
      <c r="O36" s="208" t="str">
        <f t="shared" si="15"/>
        <v/>
      </c>
      <c r="P36" s="203" t="str">
        <f t="shared" si="16"/>
        <v/>
      </c>
      <c r="Q36" s="204" t="str">
        <f t="shared" si="17"/>
        <v/>
      </c>
      <c r="R36" s="205" t="str">
        <f t="shared" si="18"/>
        <v/>
      </c>
      <c r="S36" s="160"/>
      <c r="T36" s="209"/>
    </row>
    <row r="37" spans="1:21" ht="15.75" thickBot="1" x14ac:dyDescent="0.3">
      <c r="A37" s="217">
        <v>28</v>
      </c>
      <c r="B37" s="150"/>
      <c r="C37" s="146"/>
      <c r="D37" s="147"/>
      <c r="E37" s="148"/>
      <c r="F37" s="148"/>
      <c r="G37" s="212" t="str">
        <f t="shared" si="11"/>
        <v/>
      </c>
      <c r="H37" s="213" t="str">
        <f t="shared" si="12"/>
        <v/>
      </c>
      <c r="I37" s="214" t="str">
        <f t="shared" si="12"/>
        <v/>
      </c>
      <c r="J37" s="212" t="str">
        <f t="shared" si="13"/>
        <v/>
      </c>
      <c r="K37" s="215" t="str">
        <f t="shared" si="14"/>
        <v/>
      </c>
      <c r="L37" s="157"/>
      <c r="M37" s="147"/>
      <c r="N37" s="216" t="str">
        <f t="shared" si="10"/>
        <v/>
      </c>
      <c r="O37" s="220" t="str">
        <f t="shared" si="15"/>
        <v/>
      </c>
      <c r="P37" s="212" t="str">
        <f t="shared" si="16"/>
        <v/>
      </c>
      <c r="Q37" s="213" t="str">
        <f t="shared" si="17"/>
        <v/>
      </c>
      <c r="R37" s="214" t="str">
        <f t="shared" si="18"/>
        <v/>
      </c>
      <c r="S37" s="161"/>
      <c r="T37" s="218"/>
    </row>
    <row r="38" spans="1:21" ht="15" x14ac:dyDescent="0.25">
      <c r="A38" s="223">
        <v>29</v>
      </c>
      <c r="B38" s="151"/>
      <c r="C38" s="152"/>
      <c r="D38" s="153"/>
      <c r="E38" s="154"/>
      <c r="F38" s="154"/>
      <c r="G38" s="224" t="str">
        <f t="shared" si="11"/>
        <v/>
      </c>
      <c r="H38" s="225" t="str">
        <f t="shared" si="12"/>
        <v/>
      </c>
      <c r="I38" s="226" t="str">
        <f t="shared" si="12"/>
        <v/>
      </c>
      <c r="J38" s="224" t="str">
        <f t="shared" si="13"/>
        <v/>
      </c>
      <c r="K38" s="206" t="str">
        <f t="shared" si="14"/>
        <v/>
      </c>
      <c r="L38" s="158"/>
      <c r="M38" s="153"/>
      <c r="N38" s="227" t="str">
        <f t="shared" si="10"/>
        <v/>
      </c>
      <c r="O38" s="228" t="str">
        <f t="shared" si="15"/>
        <v/>
      </c>
      <c r="P38" s="224" t="str">
        <f t="shared" si="16"/>
        <v/>
      </c>
      <c r="Q38" s="225" t="str">
        <f t="shared" si="17"/>
        <v/>
      </c>
      <c r="R38" s="226" t="str">
        <f t="shared" si="18"/>
        <v/>
      </c>
      <c r="S38" s="162"/>
      <c r="T38" s="229"/>
    </row>
    <row r="39" spans="1:21" ht="15" x14ac:dyDescent="0.25">
      <c r="A39" s="222">
        <v>30</v>
      </c>
      <c r="B39" s="149"/>
      <c r="C39" s="143"/>
      <c r="D39" s="144"/>
      <c r="E39" s="145"/>
      <c r="F39" s="145"/>
      <c r="G39" s="203" t="str">
        <f t="shared" si="11"/>
        <v/>
      </c>
      <c r="H39" s="204" t="str">
        <f t="shared" si="12"/>
        <v/>
      </c>
      <c r="I39" s="205" t="str">
        <f t="shared" si="12"/>
        <v/>
      </c>
      <c r="J39" s="203" t="str">
        <f t="shared" si="13"/>
        <v/>
      </c>
      <c r="K39" s="210" t="str">
        <f t="shared" si="14"/>
        <v/>
      </c>
      <c r="L39" s="156"/>
      <c r="M39" s="144"/>
      <c r="N39" s="207" t="str">
        <f t="shared" si="10"/>
        <v/>
      </c>
      <c r="O39" s="208" t="str">
        <f t="shared" si="15"/>
        <v/>
      </c>
      <c r="P39" s="203" t="str">
        <f t="shared" si="16"/>
        <v/>
      </c>
      <c r="Q39" s="204" t="str">
        <f t="shared" si="17"/>
        <v/>
      </c>
      <c r="R39" s="205" t="str">
        <f t="shared" si="18"/>
        <v/>
      </c>
      <c r="S39" s="160"/>
      <c r="T39" s="209"/>
    </row>
    <row r="40" spans="1:21" ht="15" x14ac:dyDescent="0.25">
      <c r="A40" s="222">
        <v>31</v>
      </c>
      <c r="B40" s="149"/>
      <c r="C40" s="143"/>
      <c r="D40" s="144"/>
      <c r="E40" s="145"/>
      <c r="F40" s="145"/>
      <c r="G40" s="203" t="str">
        <f t="shared" si="11"/>
        <v/>
      </c>
      <c r="H40" s="204" t="str">
        <f t="shared" si="12"/>
        <v/>
      </c>
      <c r="I40" s="205" t="str">
        <f t="shared" si="12"/>
        <v/>
      </c>
      <c r="J40" s="203" t="str">
        <f t="shared" si="13"/>
        <v/>
      </c>
      <c r="K40" s="210" t="str">
        <f t="shared" si="14"/>
        <v/>
      </c>
      <c r="L40" s="156"/>
      <c r="M40" s="144"/>
      <c r="N40" s="207" t="str">
        <f t="shared" si="10"/>
        <v/>
      </c>
      <c r="O40" s="208" t="str">
        <f t="shared" si="15"/>
        <v/>
      </c>
      <c r="P40" s="203" t="str">
        <f t="shared" si="16"/>
        <v/>
      </c>
      <c r="Q40" s="204" t="str">
        <f t="shared" si="17"/>
        <v/>
      </c>
      <c r="R40" s="205" t="str">
        <f t="shared" si="18"/>
        <v/>
      </c>
      <c r="S40" s="160"/>
      <c r="T40" s="209"/>
    </row>
    <row r="41" spans="1:21" ht="15.75" thickBot="1" x14ac:dyDescent="0.3">
      <c r="A41" s="217">
        <v>32</v>
      </c>
      <c r="B41" s="150"/>
      <c r="C41" s="146"/>
      <c r="D41" s="147"/>
      <c r="E41" s="148"/>
      <c r="F41" s="148"/>
      <c r="G41" s="212" t="str">
        <f t="shared" si="11"/>
        <v/>
      </c>
      <c r="H41" s="213" t="str">
        <f t="shared" si="12"/>
        <v/>
      </c>
      <c r="I41" s="214" t="str">
        <f t="shared" si="12"/>
        <v/>
      </c>
      <c r="J41" s="212" t="str">
        <f t="shared" si="13"/>
        <v/>
      </c>
      <c r="K41" s="215" t="str">
        <f t="shared" si="14"/>
        <v/>
      </c>
      <c r="L41" s="157"/>
      <c r="M41" s="147"/>
      <c r="N41" s="216" t="str">
        <f t="shared" si="10"/>
        <v/>
      </c>
      <c r="O41" s="217" t="str">
        <f t="shared" si="15"/>
        <v/>
      </c>
      <c r="P41" s="212" t="str">
        <f t="shared" si="16"/>
        <v/>
      </c>
      <c r="Q41" s="213" t="str">
        <f t="shared" si="17"/>
        <v/>
      </c>
      <c r="R41" s="214" t="str">
        <f t="shared" si="18"/>
        <v/>
      </c>
      <c r="S41" s="161"/>
      <c r="T41" s="218"/>
    </row>
    <row r="42" spans="1:21" ht="27.95" customHeight="1" thickBot="1" x14ac:dyDescent="0.25">
      <c r="E42" s="285" t="s">
        <v>35</v>
      </c>
      <c r="F42" s="286"/>
      <c r="G42" s="230" t="str">
        <f>IF(SUM(G10:G41)=0,"",SUM(G10:G41))</f>
        <v/>
      </c>
      <c r="H42" s="231" t="str">
        <f>IF(SUM(H10:H41)=0,"",SUM(H10:H41))</f>
        <v/>
      </c>
      <c r="I42" s="232" t="str">
        <f t="shared" ref="I42:K42" si="19">IF(SUM(I10:I41)=0,"",SUM(I10:I41))</f>
        <v/>
      </c>
      <c r="J42" s="230" t="str">
        <f t="shared" si="19"/>
        <v/>
      </c>
      <c r="K42" s="233" t="str">
        <f t="shared" si="19"/>
        <v/>
      </c>
      <c r="L42" s="234" t="str">
        <f>IF(L$10="","",SUM(L10:L41))</f>
        <v/>
      </c>
      <c r="M42" s="234" t="str">
        <f t="shared" ref="M42" si="20">IF(M$10="","",SUM(M10:M41))</f>
        <v/>
      </c>
      <c r="N42" s="235" t="str">
        <f t="shared" ref="N42" si="21">IF(N$10="","",SUM(N10:N41))</f>
        <v/>
      </c>
      <c r="O42" s="234"/>
      <c r="P42" s="236" t="str">
        <f>IF(SUM(P10:P41)=0,"",SUM(P10:P41))</f>
        <v/>
      </c>
      <c r="Q42" s="237" t="str">
        <f t="shared" ref="Q42:R42" si="22">IF(SUM(Q10:Q41)=0,"",SUM(Q10:Q41))</f>
        <v/>
      </c>
      <c r="R42" s="238" t="str">
        <f t="shared" si="22"/>
        <v/>
      </c>
    </row>
    <row r="43" spans="1:21" ht="27.95" customHeight="1" thickBot="1" x14ac:dyDescent="0.25">
      <c r="E43" s="285" t="s">
        <v>36</v>
      </c>
      <c r="F43" s="286"/>
      <c r="G43" s="239" t="str">
        <f>IF(COUNT(G10:G41)=0,"",COUNT(G10:G41))</f>
        <v/>
      </c>
      <c r="H43" s="1" t="str">
        <f>IF(COUNT(H10:H41)=0,"",COUNT(H10:H41))</f>
        <v/>
      </c>
      <c r="I43" s="240" t="str">
        <f>IF(COUNT(I10:I41)=0,"",COUNT(I10:I41))</f>
        <v/>
      </c>
      <c r="J43" s="239" t="str">
        <f>IF(COUNT(J10:J41)=0,"",COUNT(J10:J41))</f>
        <v/>
      </c>
      <c r="K43" s="241" t="str">
        <f>IF(COUNT(K10:K41)=0,"",COUNT(K10:K41))</f>
        <v/>
      </c>
      <c r="L43" s="100" t="str">
        <f>IF(L$10="","",32-COUNTBLANK(L10:L41))</f>
        <v/>
      </c>
      <c r="M43" s="100" t="str">
        <f>IF(M$10="","",32-COUNTBLANK(M10:M41))</f>
        <v/>
      </c>
      <c r="N43" s="77" t="str">
        <f>IF(COUNT(N10:N41)=0,"",COUNT(N10:N41))</f>
        <v/>
      </c>
      <c r="O43" s="100"/>
      <c r="P43" s="242" t="str">
        <f>IF(COUNT(P10:P41)=0,"",COUNT(P10:P41))</f>
        <v/>
      </c>
      <c r="Q43" s="243" t="str">
        <f>IF(COUNT(Q10:Q41)=0,"",COUNT(Q10:Q41))</f>
        <v/>
      </c>
      <c r="R43" s="244" t="str">
        <f>IF(COUNT(R10:R41)=0,"",COUNT(R10:R41))</f>
        <v/>
      </c>
    </row>
    <row r="44" spans="1:21" ht="19.149999999999999" customHeight="1" x14ac:dyDescent="0.2">
      <c r="E44" s="245"/>
      <c r="F44" s="245"/>
      <c r="G44" s="100"/>
      <c r="H44" s="100"/>
      <c r="I44" s="100"/>
      <c r="J44" s="100"/>
      <c r="K44" s="100"/>
      <c r="L44" s="100"/>
      <c r="M44" s="100"/>
      <c r="N44" s="100"/>
      <c r="O44" s="100"/>
      <c r="P44" s="100"/>
      <c r="Q44" s="246"/>
      <c r="R44" s="100"/>
    </row>
    <row r="45" spans="1:21" ht="19.899999999999999" customHeight="1" thickBot="1" x14ac:dyDescent="0.3">
      <c r="E45" s="245"/>
      <c r="F45" s="245"/>
      <c r="G45" s="251" t="s">
        <v>129</v>
      </c>
      <c r="H45" s="251"/>
      <c r="I45" s="251"/>
      <c r="J45" s="251"/>
      <c r="K45" s="251"/>
      <c r="L45" s="251"/>
      <c r="M45" s="251"/>
      <c r="N45" s="251"/>
      <c r="O45" s="251"/>
      <c r="P45" s="251"/>
      <c r="Q45" s="251"/>
      <c r="R45" s="251"/>
      <c r="S45" s="251"/>
      <c r="T45" s="251"/>
      <c r="U45" s="251"/>
    </row>
    <row r="46" spans="1:21" ht="15" customHeight="1" thickBot="1" x14ac:dyDescent="0.25">
      <c r="E46" s="245"/>
      <c r="F46" s="245"/>
      <c r="G46" s="254" t="s">
        <v>124</v>
      </c>
      <c r="H46" s="255"/>
      <c r="I46" s="255"/>
      <c r="J46" s="256"/>
      <c r="K46" s="254" t="s">
        <v>33</v>
      </c>
      <c r="L46" s="255"/>
      <c r="M46" s="255"/>
      <c r="N46" s="256"/>
      <c r="O46" s="268" t="s">
        <v>127</v>
      </c>
      <c r="P46" s="269"/>
      <c r="Q46" s="269"/>
      <c r="R46" s="270"/>
      <c r="S46" s="274" t="s">
        <v>128</v>
      </c>
      <c r="T46" s="269"/>
      <c r="U46" s="270"/>
    </row>
    <row r="47" spans="1:21" ht="22.15" customHeight="1" thickBot="1" x14ac:dyDescent="0.25">
      <c r="F47" s="247" t="s">
        <v>5</v>
      </c>
      <c r="G47" s="283" t="s">
        <v>125</v>
      </c>
      <c r="H47" s="277"/>
      <c r="I47" s="277" t="s">
        <v>126</v>
      </c>
      <c r="J47" s="278"/>
      <c r="K47" s="283" t="s">
        <v>125</v>
      </c>
      <c r="L47" s="277"/>
      <c r="M47" s="277" t="s">
        <v>126</v>
      </c>
      <c r="N47" s="278"/>
      <c r="O47" s="271"/>
      <c r="P47" s="272"/>
      <c r="Q47" s="272"/>
      <c r="R47" s="273"/>
      <c r="S47" s="275"/>
      <c r="T47" s="272"/>
      <c r="U47" s="273"/>
    </row>
    <row r="48" spans="1:21" ht="22.15" customHeight="1" thickBot="1" x14ac:dyDescent="0.25">
      <c r="E48" s="100" t="s">
        <v>130</v>
      </c>
      <c r="F48" s="248" t="str">
        <f>IF(O48="","",O2)</f>
        <v/>
      </c>
      <c r="G48" s="284" t="str">
        <f>IF(O48=1,P42,IF(O48=6,Q42,""))</f>
        <v/>
      </c>
      <c r="H48" s="281"/>
      <c r="I48" s="281" t="str">
        <f>IF(G48="","",C4+G48)</f>
        <v/>
      </c>
      <c r="J48" s="267"/>
      <c r="K48" s="252" t="str">
        <f>IF(O48=1,P43,IF(O48=6,Q43,""))</f>
        <v/>
      </c>
      <c r="L48" s="253"/>
      <c r="M48" s="253" t="str">
        <f>IF(K48="","",C5+K48)</f>
        <v/>
      </c>
      <c r="N48" s="267"/>
      <c r="O48" s="252" t="str">
        <f>IF($R$43&lt;=32,7,IF($Q$43&lt;=32,6,IF($P$43&lt;=32,1,"")))</f>
        <v/>
      </c>
      <c r="P48" s="253"/>
      <c r="Q48" s="253"/>
      <c r="R48" s="267"/>
      <c r="S48" s="276" t="e" cm="1" vm="1">
        <f t="array" aca="1" ref="S48" ca="1">INDEX(B10:B41,COUNTA(B10:B41))</f>
        <v>#VALUE!</v>
      </c>
      <c r="T48" s="253"/>
      <c r="U48" s="267"/>
    </row>
    <row r="49" spans="4:21" ht="22.15" customHeight="1" thickBot="1" x14ac:dyDescent="0.25">
      <c r="D49" s="249"/>
      <c r="E49" s="100" t="str">
        <f>IF(O49=1,"Line 2","")</f>
        <v/>
      </c>
      <c r="F49" s="248" t="str">
        <f>IF(O49="","",O2)</f>
        <v/>
      </c>
      <c r="G49" s="279" t="str">
        <f>IF(O49=1,P42,"")</f>
        <v/>
      </c>
      <c r="H49" s="280"/>
      <c r="I49" s="281" t="str">
        <f>IF(G49="","",I48+G49)</f>
        <v/>
      </c>
      <c r="J49" s="282"/>
      <c r="K49" s="252" t="str">
        <f>IF(O49=1,P43,"")</f>
        <v/>
      </c>
      <c r="L49" s="253"/>
      <c r="M49" s="253" t="str">
        <f>IF(K49="","",M48+K49)</f>
        <v/>
      </c>
      <c r="N49" s="267"/>
      <c r="O49" s="252" t="str">
        <f>IF(AND(O48=6,P43&lt;=32),1,"")</f>
        <v/>
      </c>
      <c r="P49" s="253"/>
      <c r="Q49" s="253"/>
      <c r="R49" s="267"/>
      <c r="S49" s="276" t="str" cm="1">
        <f t="array" ref="S49">IF(O49=1,INDEX(B10:B41,COUNTA(B10:B41)),"")</f>
        <v/>
      </c>
      <c r="T49" s="253"/>
      <c r="U49" s="267"/>
    </row>
  </sheetData>
  <sheetProtection selectLockedCells="1"/>
  <mergeCells count="44">
    <mergeCell ref="A7:A9"/>
    <mergeCell ref="N7:N9"/>
    <mergeCell ref="L7:M8"/>
    <mergeCell ref="G7:I7"/>
    <mergeCell ref="J7:K7"/>
    <mergeCell ref="E43:F43"/>
    <mergeCell ref="E42:F42"/>
    <mergeCell ref="O7:O9"/>
    <mergeCell ref="D2:E2"/>
    <mergeCell ref="H2:K2"/>
    <mergeCell ref="O2:Q2"/>
    <mergeCell ref="P7:R8"/>
    <mergeCell ref="R5:T5"/>
    <mergeCell ref="G3:T3"/>
    <mergeCell ref="E7:E9"/>
    <mergeCell ref="G49:H49"/>
    <mergeCell ref="I48:J48"/>
    <mergeCell ref="I49:J49"/>
    <mergeCell ref="K49:L49"/>
    <mergeCell ref="G47:H47"/>
    <mergeCell ref="I47:J47"/>
    <mergeCell ref="K47:L47"/>
    <mergeCell ref="G48:H48"/>
    <mergeCell ref="M49:N49"/>
    <mergeCell ref="O46:R47"/>
    <mergeCell ref="O48:R48"/>
    <mergeCell ref="O49:R49"/>
    <mergeCell ref="S46:U47"/>
    <mergeCell ref="S49:U49"/>
    <mergeCell ref="M47:N47"/>
    <mergeCell ref="M48:N48"/>
    <mergeCell ref="S48:U48"/>
    <mergeCell ref="K46:N46"/>
    <mergeCell ref="G45:U45"/>
    <mergeCell ref="K48:L48"/>
    <mergeCell ref="G46:J46"/>
    <mergeCell ref="K6:L6"/>
    <mergeCell ref="M6:N6"/>
    <mergeCell ref="O6:R6"/>
    <mergeCell ref="S6:U6"/>
    <mergeCell ref="S7:S9"/>
    <mergeCell ref="T7:T9"/>
    <mergeCell ref="G6:H6"/>
    <mergeCell ref="I6:J6"/>
  </mergeCell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47625</xdr:colOff>
                    <xdr:row>9</xdr:row>
                    <xdr:rowOff>0</xdr:rowOff>
                  </from>
                  <to>
                    <xdr:col>18</xdr:col>
                    <xdr:colOff>238125</xdr:colOff>
                    <xdr:row>10</xdr:row>
                    <xdr:rowOff>9525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47625</xdr:colOff>
                    <xdr:row>10</xdr:row>
                    <xdr:rowOff>0</xdr:rowOff>
                  </from>
                  <to>
                    <xdr:col>18</xdr:col>
                    <xdr:colOff>238125</xdr:colOff>
                    <xdr:row>11</xdr:row>
                    <xdr:rowOff>9525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47625</xdr:colOff>
                    <xdr:row>11</xdr:row>
                    <xdr:rowOff>0</xdr:rowOff>
                  </from>
                  <to>
                    <xdr:col>18</xdr:col>
                    <xdr:colOff>238125</xdr:colOff>
                    <xdr:row>12</xdr:row>
                    <xdr:rowOff>9525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47625</xdr:colOff>
                    <xdr:row>12</xdr:row>
                    <xdr:rowOff>0</xdr:rowOff>
                  </from>
                  <to>
                    <xdr:col>18</xdr:col>
                    <xdr:colOff>238125</xdr:colOff>
                    <xdr:row>13</xdr:row>
                    <xdr:rowOff>9525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47625</xdr:colOff>
                    <xdr:row>13</xdr:row>
                    <xdr:rowOff>0</xdr:rowOff>
                  </from>
                  <to>
                    <xdr:col>18</xdr:col>
                    <xdr:colOff>238125</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47625</xdr:colOff>
                    <xdr:row>14</xdr:row>
                    <xdr:rowOff>0</xdr:rowOff>
                  </from>
                  <to>
                    <xdr:col>18</xdr:col>
                    <xdr:colOff>238125</xdr:colOff>
                    <xdr:row>15</xdr:row>
                    <xdr:rowOff>9525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47625</xdr:colOff>
                    <xdr:row>15</xdr:row>
                    <xdr:rowOff>0</xdr:rowOff>
                  </from>
                  <to>
                    <xdr:col>18</xdr:col>
                    <xdr:colOff>238125</xdr:colOff>
                    <xdr:row>16</xdr:row>
                    <xdr:rowOff>9525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47625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47625</xdr:colOff>
                    <xdr:row>17</xdr:row>
                    <xdr:rowOff>0</xdr:rowOff>
                  </from>
                  <to>
                    <xdr:col>18</xdr:col>
                    <xdr:colOff>238125</xdr:colOff>
                    <xdr:row>18</xdr:row>
                    <xdr:rowOff>9525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47625</xdr:colOff>
                    <xdr:row>18</xdr:row>
                    <xdr:rowOff>0</xdr:rowOff>
                  </from>
                  <to>
                    <xdr:col>18</xdr:col>
                    <xdr:colOff>238125</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47625</xdr:colOff>
                    <xdr:row>19</xdr:row>
                    <xdr:rowOff>0</xdr:rowOff>
                  </from>
                  <to>
                    <xdr:col>18</xdr:col>
                    <xdr:colOff>238125</xdr:colOff>
                    <xdr:row>20</xdr:row>
                    <xdr:rowOff>9525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47625</xdr:colOff>
                    <xdr:row>20</xdr:row>
                    <xdr:rowOff>0</xdr:rowOff>
                  </from>
                  <to>
                    <xdr:col>18</xdr:col>
                    <xdr:colOff>238125</xdr:colOff>
                    <xdr:row>21</xdr:row>
                    <xdr:rowOff>9525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47625</xdr:colOff>
                    <xdr:row>21</xdr:row>
                    <xdr:rowOff>0</xdr:rowOff>
                  </from>
                  <to>
                    <xdr:col>18</xdr:col>
                    <xdr:colOff>238125</xdr:colOff>
                    <xdr:row>22</xdr:row>
                    <xdr:rowOff>9525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47625</xdr:colOff>
                    <xdr:row>22</xdr:row>
                    <xdr:rowOff>0</xdr:rowOff>
                  </from>
                  <to>
                    <xdr:col>18</xdr:col>
                    <xdr:colOff>238125</xdr:colOff>
                    <xdr:row>23</xdr:row>
                    <xdr:rowOff>9525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47625</xdr:colOff>
                    <xdr:row>23</xdr:row>
                    <xdr:rowOff>0</xdr:rowOff>
                  </from>
                  <to>
                    <xdr:col>18</xdr:col>
                    <xdr:colOff>238125</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47625</xdr:colOff>
                    <xdr:row>24</xdr:row>
                    <xdr:rowOff>0</xdr:rowOff>
                  </from>
                  <to>
                    <xdr:col>18</xdr:col>
                    <xdr:colOff>238125</xdr:colOff>
                    <xdr:row>25</xdr:row>
                    <xdr:rowOff>9525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47625</xdr:colOff>
                    <xdr:row>25</xdr:row>
                    <xdr:rowOff>0</xdr:rowOff>
                  </from>
                  <to>
                    <xdr:col>18</xdr:col>
                    <xdr:colOff>238125</xdr:colOff>
                    <xdr:row>26</xdr:row>
                    <xdr:rowOff>9525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47625</xdr:colOff>
                    <xdr:row>26</xdr:row>
                    <xdr:rowOff>0</xdr:rowOff>
                  </from>
                  <to>
                    <xdr:col>18</xdr:col>
                    <xdr:colOff>238125</xdr:colOff>
                    <xdr:row>27</xdr:row>
                    <xdr:rowOff>9525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47625</xdr:colOff>
                    <xdr:row>27</xdr:row>
                    <xdr:rowOff>0</xdr:rowOff>
                  </from>
                  <to>
                    <xdr:col>18</xdr:col>
                    <xdr:colOff>238125</xdr:colOff>
                    <xdr:row>28</xdr:row>
                    <xdr:rowOff>9525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47625</xdr:colOff>
                    <xdr:row>28</xdr:row>
                    <xdr:rowOff>0</xdr:rowOff>
                  </from>
                  <to>
                    <xdr:col>18</xdr:col>
                    <xdr:colOff>238125</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47625</xdr:colOff>
                    <xdr:row>29</xdr:row>
                    <xdr:rowOff>0</xdr:rowOff>
                  </from>
                  <to>
                    <xdr:col>18</xdr:col>
                    <xdr:colOff>238125</xdr:colOff>
                    <xdr:row>30</xdr:row>
                    <xdr:rowOff>9525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47625</xdr:colOff>
                    <xdr:row>30</xdr:row>
                    <xdr:rowOff>0</xdr:rowOff>
                  </from>
                  <to>
                    <xdr:col>18</xdr:col>
                    <xdr:colOff>238125</xdr:colOff>
                    <xdr:row>31</xdr:row>
                    <xdr:rowOff>9525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47625</xdr:colOff>
                    <xdr:row>31</xdr:row>
                    <xdr:rowOff>0</xdr:rowOff>
                  </from>
                  <to>
                    <xdr:col>18</xdr:col>
                    <xdr:colOff>238125</xdr:colOff>
                    <xdr:row>32</xdr:row>
                    <xdr:rowOff>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47625</xdr:colOff>
                    <xdr:row>32</xdr:row>
                    <xdr:rowOff>0</xdr:rowOff>
                  </from>
                  <to>
                    <xdr:col>18</xdr:col>
                    <xdr:colOff>238125</xdr:colOff>
                    <xdr:row>32</xdr:row>
                    <xdr:rowOff>171450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47625</xdr:colOff>
                    <xdr:row>33</xdr:row>
                    <xdr:rowOff>0</xdr:rowOff>
                  </from>
                  <to>
                    <xdr:col>18</xdr:col>
                    <xdr:colOff>238125</xdr:colOff>
                    <xdr:row>33</xdr:row>
                    <xdr:rowOff>171450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47625</xdr:colOff>
                    <xdr:row>34</xdr:row>
                    <xdr:rowOff>0</xdr:rowOff>
                  </from>
                  <to>
                    <xdr:col>18</xdr:col>
                    <xdr:colOff>238125</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47625</xdr:colOff>
                    <xdr:row>35</xdr:row>
                    <xdr:rowOff>0</xdr:rowOff>
                  </from>
                  <to>
                    <xdr:col>18</xdr:col>
                    <xdr:colOff>238125</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47625</xdr:colOff>
                    <xdr:row>36</xdr:row>
                    <xdr:rowOff>0</xdr:rowOff>
                  </from>
                  <to>
                    <xdr:col>18</xdr:col>
                    <xdr:colOff>238125</xdr:colOff>
                    <xdr:row>36</xdr:row>
                    <xdr:rowOff>171450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47625</xdr:colOff>
                    <xdr:row>37</xdr:row>
                    <xdr:rowOff>0</xdr:rowOff>
                  </from>
                  <to>
                    <xdr:col>18</xdr:col>
                    <xdr:colOff>238125</xdr:colOff>
                    <xdr:row>38</xdr:row>
                    <xdr:rowOff>9525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47625</xdr:colOff>
                    <xdr:row>38</xdr:row>
                    <xdr:rowOff>0</xdr:rowOff>
                  </from>
                  <to>
                    <xdr:col>18</xdr:col>
                    <xdr:colOff>238125</xdr:colOff>
                    <xdr:row>39</xdr:row>
                    <xdr:rowOff>9525</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47625</xdr:colOff>
                    <xdr:row>39</xdr:row>
                    <xdr:rowOff>0</xdr:rowOff>
                  </from>
                  <to>
                    <xdr:col>18</xdr:col>
                    <xdr:colOff>238125</xdr:colOff>
                    <xdr:row>40</xdr:row>
                    <xdr:rowOff>9525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47625</xdr:colOff>
                    <xdr:row>40</xdr:row>
                    <xdr:rowOff>0</xdr:rowOff>
                  </from>
                  <to>
                    <xdr:col>18</xdr:col>
                    <xdr:colOff>238125</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466725</xdr:rowOff>
                  </from>
                  <to>
                    <xdr:col>11</xdr:col>
                    <xdr:colOff>295275</xdr:colOff>
                    <xdr:row>10</xdr:row>
                    <xdr:rowOff>28575</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171450</xdr:rowOff>
                  </from>
                  <to>
                    <xdr:col>11</xdr:col>
                    <xdr:colOff>295275</xdr:colOff>
                    <xdr:row>11</xdr:row>
                    <xdr:rowOff>9525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171450</xdr:rowOff>
                  </from>
                  <to>
                    <xdr:col>11</xdr:col>
                    <xdr:colOff>295275</xdr:colOff>
                    <xdr:row>12</xdr:row>
                    <xdr:rowOff>19050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171450</xdr:rowOff>
                  </from>
                  <to>
                    <xdr:col>11</xdr:col>
                    <xdr:colOff>295275</xdr:colOff>
                    <xdr:row>13</xdr:row>
                    <xdr:rowOff>9525</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171450</xdr:rowOff>
                  </from>
                  <to>
                    <xdr:col>11</xdr:col>
                    <xdr:colOff>295275</xdr:colOff>
                    <xdr:row>14</xdr:row>
                    <xdr:rowOff>9525</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171450</xdr:rowOff>
                  </from>
                  <to>
                    <xdr:col>11</xdr:col>
                    <xdr:colOff>295275</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161925</xdr:rowOff>
                  </from>
                  <to>
                    <xdr:col>11</xdr:col>
                    <xdr:colOff>295275</xdr:colOff>
                    <xdr:row>16</xdr:row>
                    <xdr:rowOff>9525</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161925</xdr:rowOff>
                  </from>
                  <to>
                    <xdr:col>11</xdr:col>
                    <xdr:colOff>295275</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85725</xdr:colOff>
                    <xdr:row>16</xdr:row>
                    <xdr:rowOff>161925</xdr:rowOff>
                  </from>
                  <to>
                    <xdr:col>11</xdr:col>
                    <xdr:colOff>295275</xdr:colOff>
                    <xdr:row>18</xdr:row>
                    <xdr:rowOff>9525</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85725</xdr:colOff>
                    <xdr:row>17</xdr:row>
                    <xdr:rowOff>161925</xdr:rowOff>
                  </from>
                  <to>
                    <xdr:col>11</xdr:col>
                    <xdr:colOff>295275</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85725</xdr:colOff>
                    <xdr:row>18</xdr:row>
                    <xdr:rowOff>161925</xdr:rowOff>
                  </from>
                  <to>
                    <xdr:col>11</xdr:col>
                    <xdr:colOff>295275</xdr:colOff>
                    <xdr:row>20</xdr:row>
                    <xdr:rowOff>9525</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85725</xdr:colOff>
                    <xdr:row>19</xdr:row>
                    <xdr:rowOff>161925</xdr:rowOff>
                  </from>
                  <to>
                    <xdr:col>11</xdr:col>
                    <xdr:colOff>295275</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85725</xdr:colOff>
                    <xdr:row>20</xdr:row>
                    <xdr:rowOff>161925</xdr:rowOff>
                  </from>
                  <to>
                    <xdr:col>11</xdr:col>
                    <xdr:colOff>295275</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85725</xdr:colOff>
                    <xdr:row>21</xdr:row>
                    <xdr:rowOff>161925</xdr:rowOff>
                  </from>
                  <to>
                    <xdr:col>11</xdr:col>
                    <xdr:colOff>295275</xdr:colOff>
                    <xdr:row>22</xdr:row>
                    <xdr:rowOff>180975</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85725</xdr:colOff>
                    <xdr:row>22</xdr:row>
                    <xdr:rowOff>152400</xdr:rowOff>
                  </from>
                  <to>
                    <xdr:col>11</xdr:col>
                    <xdr:colOff>295275</xdr:colOff>
                    <xdr:row>23</xdr:row>
                    <xdr:rowOff>180975</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85725</xdr:colOff>
                    <xdr:row>23</xdr:row>
                    <xdr:rowOff>180975</xdr:rowOff>
                  </from>
                  <to>
                    <xdr:col>11</xdr:col>
                    <xdr:colOff>295275</xdr:colOff>
                    <xdr:row>25</xdr:row>
                    <xdr:rowOff>9525</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85725</xdr:colOff>
                    <xdr:row>24</xdr:row>
                    <xdr:rowOff>161925</xdr:rowOff>
                  </from>
                  <to>
                    <xdr:col>11</xdr:col>
                    <xdr:colOff>295275</xdr:colOff>
                    <xdr:row>26</xdr:row>
                    <xdr:rowOff>9525</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85725</xdr:colOff>
                    <xdr:row>25</xdr:row>
                    <xdr:rowOff>161925</xdr:rowOff>
                  </from>
                  <to>
                    <xdr:col>11</xdr:col>
                    <xdr:colOff>295275</xdr:colOff>
                    <xdr:row>27</xdr:row>
                    <xdr:rowOff>9525</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85725</xdr:colOff>
                    <xdr:row>26</xdr:row>
                    <xdr:rowOff>161925</xdr:rowOff>
                  </from>
                  <to>
                    <xdr:col>11</xdr:col>
                    <xdr:colOff>295275</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85725</xdr:colOff>
                    <xdr:row>27</xdr:row>
                    <xdr:rowOff>161925</xdr:rowOff>
                  </from>
                  <to>
                    <xdr:col>11</xdr:col>
                    <xdr:colOff>295275</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85725</xdr:colOff>
                    <xdr:row>28</xdr:row>
                    <xdr:rowOff>180975</xdr:rowOff>
                  </from>
                  <to>
                    <xdr:col>11</xdr:col>
                    <xdr:colOff>304800</xdr:colOff>
                    <xdr:row>30</xdr:row>
                    <xdr:rowOff>9525</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85725</xdr:colOff>
                    <xdr:row>29</xdr:row>
                    <xdr:rowOff>171450</xdr:rowOff>
                  </from>
                  <to>
                    <xdr:col>11</xdr:col>
                    <xdr:colOff>304800</xdr:colOff>
                    <xdr:row>31</xdr:row>
                    <xdr:rowOff>9525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85725</xdr:colOff>
                    <xdr:row>30</xdr:row>
                    <xdr:rowOff>161925</xdr:rowOff>
                  </from>
                  <to>
                    <xdr:col>11</xdr:col>
                    <xdr:colOff>304800</xdr:colOff>
                    <xdr:row>32</xdr:row>
                    <xdr:rowOff>9525</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66675</xdr:colOff>
                    <xdr:row>8</xdr:row>
                    <xdr:rowOff>466725</xdr:rowOff>
                  </from>
                  <to>
                    <xdr:col>12</xdr:col>
                    <xdr:colOff>285750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66675</xdr:colOff>
                    <xdr:row>9</xdr:row>
                    <xdr:rowOff>180975</xdr:rowOff>
                  </from>
                  <to>
                    <xdr:col>12</xdr:col>
                    <xdr:colOff>285750</xdr:colOff>
                    <xdr:row>11</xdr:row>
                    <xdr:rowOff>19050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66675</xdr:colOff>
                    <xdr:row>10</xdr:row>
                    <xdr:rowOff>180975</xdr:rowOff>
                  </from>
                  <to>
                    <xdr:col>12</xdr:col>
                    <xdr:colOff>285750</xdr:colOff>
                    <xdr:row>12</xdr:row>
                    <xdr:rowOff>28575</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66675</xdr:colOff>
                    <xdr:row>11</xdr:row>
                    <xdr:rowOff>180975</xdr:rowOff>
                  </from>
                  <to>
                    <xdr:col>12</xdr:col>
                    <xdr:colOff>285750</xdr:colOff>
                    <xdr:row>13</xdr:row>
                    <xdr:rowOff>19050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66675</xdr:colOff>
                    <xdr:row>12</xdr:row>
                    <xdr:rowOff>180975</xdr:rowOff>
                  </from>
                  <to>
                    <xdr:col>12</xdr:col>
                    <xdr:colOff>285750</xdr:colOff>
                    <xdr:row>14</xdr:row>
                    <xdr:rowOff>9525</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66675</xdr:colOff>
                    <xdr:row>13</xdr:row>
                    <xdr:rowOff>180975</xdr:rowOff>
                  </from>
                  <to>
                    <xdr:col>12</xdr:col>
                    <xdr:colOff>285750</xdr:colOff>
                    <xdr:row>15</xdr:row>
                    <xdr:rowOff>9525</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66675</xdr:colOff>
                    <xdr:row>14</xdr:row>
                    <xdr:rowOff>161925</xdr:rowOff>
                  </from>
                  <to>
                    <xdr:col>12</xdr:col>
                    <xdr:colOff>285750</xdr:colOff>
                    <xdr:row>16</xdr:row>
                    <xdr:rowOff>9525</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66675</xdr:colOff>
                    <xdr:row>15</xdr:row>
                    <xdr:rowOff>161925</xdr:rowOff>
                  </from>
                  <to>
                    <xdr:col>12</xdr:col>
                    <xdr:colOff>285750</xdr:colOff>
                    <xdr:row>17</xdr:row>
                    <xdr:rowOff>9525</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66675</xdr:colOff>
                    <xdr:row>16</xdr:row>
                    <xdr:rowOff>171450</xdr:rowOff>
                  </from>
                  <to>
                    <xdr:col>12</xdr:col>
                    <xdr:colOff>295275</xdr:colOff>
                    <xdr:row>18</xdr:row>
                    <xdr:rowOff>19050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66675</xdr:colOff>
                    <xdr:row>17</xdr:row>
                    <xdr:rowOff>171450</xdr:rowOff>
                  </from>
                  <to>
                    <xdr:col>12</xdr:col>
                    <xdr:colOff>295275</xdr:colOff>
                    <xdr:row>19</xdr:row>
                    <xdr:rowOff>9525</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66675</xdr:colOff>
                    <xdr:row>18</xdr:row>
                    <xdr:rowOff>171450</xdr:rowOff>
                  </from>
                  <to>
                    <xdr:col>12</xdr:col>
                    <xdr:colOff>295275</xdr:colOff>
                    <xdr:row>20</xdr:row>
                    <xdr:rowOff>9525</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66675</xdr:colOff>
                    <xdr:row>19</xdr:row>
                    <xdr:rowOff>161925</xdr:rowOff>
                  </from>
                  <to>
                    <xdr:col>12</xdr:col>
                    <xdr:colOff>295275</xdr:colOff>
                    <xdr:row>21</xdr:row>
                    <xdr:rowOff>9525</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66675</xdr:colOff>
                    <xdr:row>20</xdr:row>
                    <xdr:rowOff>161925</xdr:rowOff>
                  </from>
                  <to>
                    <xdr:col>12</xdr:col>
                    <xdr:colOff>295275</xdr:colOff>
                    <xdr:row>22</xdr:row>
                    <xdr:rowOff>9525</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66675</xdr:colOff>
                    <xdr:row>21</xdr:row>
                    <xdr:rowOff>161925</xdr:rowOff>
                  </from>
                  <to>
                    <xdr:col>12</xdr:col>
                    <xdr:colOff>295275</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66675</xdr:colOff>
                    <xdr:row>22</xdr:row>
                    <xdr:rowOff>161925</xdr:rowOff>
                  </from>
                  <to>
                    <xdr:col>12</xdr:col>
                    <xdr:colOff>295275</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66675</xdr:colOff>
                    <xdr:row>23</xdr:row>
                    <xdr:rowOff>180975</xdr:rowOff>
                  </from>
                  <to>
                    <xdr:col>12</xdr:col>
                    <xdr:colOff>295275</xdr:colOff>
                    <xdr:row>25</xdr:row>
                    <xdr:rowOff>19050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66675</xdr:colOff>
                    <xdr:row>24</xdr:row>
                    <xdr:rowOff>171450</xdr:rowOff>
                  </from>
                  <to>
                    <xdr:col>12</xdr:col>
                    <xdr:colOff>295275</xdr:colOff>
                    <xdr:row>26</xdr:row>
                    <xdr:rowOff>9525</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66675</xdr:colOff>
                    <xdr:row>25</xdr:row>
                    <xdr:rowOff>171450</xdr:rowOff>
                  </from>
                  <to>
                    <xdr:col>12</xdr:col>
                    <xdr:colOff>295275</xdr:colOff>
                    <xdr:row>27</xdr:row>
                    <xdr:rowOff>9525</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66675</xdr:colOff>
                    <xdr:row>26</xdr:row>
                    <xdr:rowOff>171450</xdr:rowOff>
                  </from>
                  <to>
                    <xdr:col>12</xdr:col>
                    <xdr:colOff>295275</xdr:colOff>
                    <xdr:row>28</xdr:row>
                    <xdr:rowOff>9525</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66675</xdr:colOff>
                    <xdr:row>27</xdr:row>
                    <xdr:rowOff>161925</xdr:rowOff>
                  </from>
                  <to>
                    <xdr:col>12</xdr:col>
                    <xdr:colOff>295275</xdr:colOff>
                    <xdr:row>29</xdr:row>
                    <xdr:rowOff>9525</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295275</xdr:colOff>
                    <xdr:row>30</xdr:row>
                    <xdr:rowOff>19050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180975</xdr:rowOff>
                  </from>
                  <to>
                    <xdr:col>12</xdr:col>
                    <xdr:colOff>295275</xdr:colOff>
                    <xdr:row>31</xdr:row>
                    <xdr:rowOff>9525</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171450</xdr:rowOff>
                  </from>
                  <to>
                    <xdr:col>12</xdr:col>
                    <xdr:colOff>295275</xdr:colOff>
                    <xdr:row>32</xdr:row>
                    <xdr:rowOff>9525</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66675</xdr:colOff>
                    <xdr:row>32</xdr:row>
                    <xdr:rowOff>0</xdr:rowOff>
                  </from>
                  <to>
                    <xdr:col>11</xdr:col>
                    <xdr:colOff>276225</xdr:colOff>
                    <xdr:row>33</xdr:row>
                    <xdr:rowOff>19050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66675</xdr:colOff>
                    <xdr:row>32</xdr:row>
                    <xdr:rowOff>171450</xdr:rowOff>
                  </from>
                  <to>
                    <xdr:col>11</xdr:col>
                    <xdr:colOff>276225</xdr:colOff>
                    <xdr:row>33</xdr:row>
                    <xdr:rowOff>171450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66675</xdr:colOff>
                    <xdr:row>33</xdr:row>
                    <xdr:rowOff>171450</xdr:rowOff>
                  </from>
                  <to>
                    <xdr:col>11</xdr:col>
                    <xdr:colOff>276225</xdr:colOff>
                    <xdr:row>34</xdr:row>
                    <xdr:rowOff>171450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66675</xdr:colOff>
                    <xdr:row>34</xdr:row>
                    <xdr:rowOff>171450</xdr:rowOff>
                  </from>
                  <to>
                    <xdr:col>11</xdr:col>
                    <xdr:colOff>276225</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66675</xdr:colOff>
                    <xdr:row>35</xdr:row>
                    <xdr:rowOff>161925</xdr:rowOff>
                  </from>
                  <to>
                    <xdr:col>11</xdr:col>
                    <xdr:colOff>276225</xdr:colOff>
                    <xdr:row>36</xdr:row>
                    <xdr:rowOff>171450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66675</xdr:colOff>
                    <xdr:row>32</xdr:row>
                    <xdr:rowOff>0</xdr:rowOff>
                  </from>
                  <to>
                    <xdr:col>12</xdr:col>
                    <xdr:colOff>285750</xdr:colOff>
                    <xdr:row>33</xdr:row>
                    <xdr:rowOff>9525</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66675</xdr:colOff>
                    <xdr:row>32</xdr:row>
                    <xdr:rowOff>161925</xdr:rowOff>
                  </from>
                  <to>
                    <xdr:col>12</xdr:col>
                    <xdr:colOff>285750</xdr:colOff>
                    <xdr:row>33</xdr:row>
                    <xdr:rowOff>171450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66675</xdr:colOff>
                    <xdr:row>33</xdr:row>
                    <xdr:rowOff>161925</xdr:rowOff>
                  </from>
                  <to>
                    <xdr:col>12</xdr:col>
                    <xdr:colOff>285750</xdr:colOff>
                    <xdr:row>34</xdr:row>
                    <xdr:rowOff>171450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66675</xdr:colOff>
                    <xdr:row>34</xdr:row>
                    <xdr:rowOff>161925</xdr:rowOff>
                  </from>
                  <to>
                    <xdr:col>12</xdr:col>
                    <xdr:colOff>285750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66675</xdr:colOff>
                    <xdr:row>35</xdr:row>
                    <xdr:rowOff>161925</xdr:rowOff>
                  </from>
                  <to>
                    <xdr:col>12</xdr:col>
                    <xdr:colOff>285750</xdr:colOff>
                    <xdr:row>36</xdr:row>
                    <xdr:rowOff>171450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180975</xdr:rowOff>
                  </from>
                  <to>
                    <xdr:col>11</xdr:col>
                    <xdr:colOff>295275</xdr:colOff>
                    <xdr:row>38</xdr:row>
                    <xdr:rowOff>19050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171450</xdr:rowOff>
                  </from>
                  <to>
                    <xdr:col>11</xdr:col>
                    <xdr:colOff>295275</xdr:colOff>
                    <xdr:row>39</xdr:row>
                    <xdr:rowOff>9525</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171450</xdr:rowOff>
                  </from>
                  <to>
                    <xdr:col>11</xdr:col>
                    <xdr:colOff>295275</xdr:colOff>
                    <xdr:row>40</xdr:row>
                    <xdr:rowOff>9525</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171450</xdr:rowOff>
                  </from>
                  <to>
                    <xdr:col>11</xdr:col>
                    <xdr:colOff>295275</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180975</xdr:rowOff>
                  </from>
                  <to>
                    <xdr:col>12</xdr:col>
                    <xdr:colOff>295275</xdr:colOff>
                    <xdr:row>38</xdr:row>
                    <xdr:rowOff>19050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171450</xdr:rowOff>
                  </from>
                  <to>
                    <xdr:col>12</xdr:col>
                    <xdr:colOff>295275</xdr:colOff>
                    <xdr:row>39</xdr:row>
                    <xdr:rowOff>9525</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171450</xdr:rowOff>
                  </from>
                  <to>
                    <xdr:col>12</xdr:col>
                    <xdr:colOff>295275</xdr:colOff>
                    <xdr:row>40</xdr:row>
                    <xdr:rowOff>9525</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171450</xdr:rowOff>
                  </from>
                  <to>
                    <xdr:col>12</xdr:col>
                    <xdr:colOff>295275</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3000000}">
          <x14:formula1>
            <xm:f>INPUT_DATA!$A$9:$A$200</xm:f>
          </x14:formula1>
          <xm:sqref>B12:B41</xm:sqref>
        </x14:dataValidation>
        <x14:dataValidation type="list" errorStyle="warning" allowBlank="1" showInputMessage="1" showErrorMessage="1" errorTitle="Invalid Pilot" error="Pilot should be one of those in hidden sheet INPUT_DATA. Unhide the sheet and add the pilot name." xr:uid="{00000000-0002-0000-0000-000004000000}">
          <x14:formula1>
            <xm:f>INPUT_DATA!$A$9:$A$200</xm:f>
          </x14:formula1>
          <xm:sqref>B11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00000000-0002-0000-0000-000006000000}">
          <x14:formula1>
            <xm:f>INPUT_DATA!A9:A200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70"/>
  <sheetViews>
    <sheetView zoomScale="85" zoomScaleNormal="85" workbookViewId="0">
      <selection activeCell="C10" sqref="C10"/>
    </sheetView>
  </sheetViews>
  <sheetFormatPr defaultRowHeight="15" x14ac:dyDescent="0.25"/>
  <cols>
    <col min="2" max="2" width="4.7109375" customWidth="1"/>
    <col min="3" max="4" width="17.7109375" customWidth="1"/>
    <col min="5" max="5" width="9.5703125" customWidth="1"/>
    <col min="6" max="7" width="9.7109375" customWidth="1"/>
    <col min="8" max="14" width="5.7109375" customWidth="1"/>
    <col min="15" max="15" width="6.28515625" customWidth="1"/>
    <col min="16" max="24" width="5.7109375" customWidth="1"/>
  </cols>
  <sheetData>
    <row r="2" spans="2:31" ht="30" customHeight="1" x14ac:dyDescent="0.4">
      <c r="B2" s="27" t="s">
        <v>107</v>
      </c>
      <c r="C2" s="28"/>
      <c r="D2" s="28"/>
      <c r="E2" s="28"/>
      <c r="F2" s="14"/>
      <c r="G2" s="14"/>
      <c r="H2" s="14"/>
      <c r="I2" s="14"/>
      <c r="J2" s="14"/>
      <c r="K2" s="14"/>
      <c r="L2" s="14"/>
      <c r="M2" s="14"/>
      <c r="N2" s="14"/>
      <c r="O2" s="14"/>
      <c r="P2" s="14"/>
      <c r="Q2" s="14"/>
      <c r="R2" s="14"/>
      <c r="S2" s="14"/>
      <c r="T2" s="14"/>
      <c r="U2" s="14"/>
      <c r="V2" s="14"/>
      <c r="W2" s="313" t="s">
        <v>108</v>
      </c>
      <c r="X2" s="313"/>
      <c r="Y2" s="313"/>
    </row>
    <row r="3" spans="2:31" ht="27" customHeight="1" x14ac:dyDescent="0.35">
      <c r="B3" s="29"/>
      <c r="C3" s="28"/>
      <c r="D3" s="28"/>
      <c r="E3" s="28"/>
      <c r="F3" s="14"/>
      <c r="G3" s="14"/>
      <c r="H3" s="14"/>
      <c r="I3" s="14"/>
      <c r="J3" s="14"/>
      <c r="K3" s="14"/>
      <c r="L3" s="14"/>
      <c r="M3" s="14"/>
      <c r="N3" s="14"/>
      <c r="O3" s="14"/>
      <c r="P3" s="14"/>
      <c r="Q3" s="14"/>
      <c r="R3" s="14"/>
      <c r="S3" s="14"/>
      <c r="T3" s="14"/>
      <c r="U3" s="14"/>
      <c r="V3" s="14"/>
      <c r="W3" s="313"/>
      <c r="X3" s="313"/>
      <c r="Y3" s="313"/>
    </row>
    <row r="4" spans="2:31" x14ac:dyDescent="0.25">
      <c r="B4" s="14"/>
      <c r="C4" s="50"/>
      <c r="D4" s="50"/>
      <c r="E4" s="258"/>
      <c r="F4" s="258"/>
      <c r="G4" s="258"/>
      <c r="H4" s="258"/>
      <c r="I4" s="14"/>
      <c r="J4" s="258"/>
      <c r="K4" s="258"/>
      <c r="L4" s="258"/>
      <c r="M4" s="258"/>
      <c r="N4" s="258"/>
      <c r="O4" s="258"/>
      <c r="P4" s="258"/>
      <c r="Q4" s="14"/>
      <c r="R4" s="258"/>
      <c r="S4" s="258"/>
      <c r="T4" s="258"/>
      <c r="U4" s="258"/>
      <c r="V4" s="258"/>
      <c r="W4" s="313"/>
      <c r="X4" s="313"/>
      <c r="Y4" s="313"/>
    </row>
    <row r="5" spans="2:31" ht="18.75" x14ac:dyDescent="0.25">
      <c r="B5" s="14"/>
      <c r="C5" s="87" t="s">
        <v>123</v>
      </c>
      <c r="D5" s="356" t="s">
        <v>3</v>
      </c>
      <c r="E5" s="356"/>
      <c r="F5" s="129">
        <f>'2965D'!$F$2</f>
        <v>0</v>
      </c>
      <c r="G5" s="88"/>
      <c r="H5" s="356" t="s">
        <v>4</v>
      </c>
      <c r="I5" s="356"/>
      <c r="J5" s="356"/>
      <c r="K5" s="356"/>
      <c r="L5" s="129" t="str">
        <f>'2965D'!$L$2</f>
        <v/>
      </c>
      <c r="M5" s="89"/>
      <c r="N5" s="88"/>
      <c r="O5" s="356" t="s">
        <v>5</v>
      </c>
      <c r="P5" s="356"/>
      <c r="Q5" s="328">
        <f>'2965D'!$O$2</f>
        <v>0</v>
      </c>
      <c r="R5" s="328"/>
      <c r="S5" s="328"/>
      <c r="T5" s="130"/>
      <c r="U5" s="90"/>
      <c r="V5" s="90"/>
      <c r="W5" s="90"/>
      <c r="X5" s="91"/>
      <c r="Y5" s="91"/>
    </row>
    <row r="6" spans="2:31" ht="15.75" thickBot="1" x14ac:dyDescent="0.3">
      <c r="B6" s="14"/>
      <c r="C6" s="14"/>
      <c r="D6" s="14"/>
      <c r="E6" s="14"/>
      <c r="F6" s="14"/>
      <c r="G6" s="14"/>
      <c r="H6" s="14"/>
      <c r="I6" s="14"/>
      <c r="J6" s="14"/>
      <c r="K6" s="14"/>
      <c r="L6" s="14"/>
      <c r="M6" s="14"/>
      <c r="N6" s="14"/>
      <c r="O6" s="14"/>
      <c r="P6" s="14"/>
      <c r="Q6" s="14"/>
      <c r="R6" s="14"/>
      <c r="S6" s="14"/>
      <c r="T6" s="14"/>
      <c r="U6" s="14"/>
      <c r="V6" s="14"/>
      <c r="W6" s="14"/>
      <c r="X6" s="14"/>
      <c r="Y6" s="14"/>
    </row>
    <row r="7" spans="2:31" ht="15" customHeight="1" x14ac:dyDescent="0.25">
      <c r="B7" s="314" t="s">
        <v>109</v>
      </c>
      <c r="C7" s="314" t="s">
        <v>110</v>
      </c>
      <c r="D7" s="314" t="s">
        <v>111</v>
      </c>
      <c r="E7" s="317" t="s">
        <v>22</v>
      </c>
      <c r="F7" s="320" t="s">
        <v>112</v>
      </c>
      <c r="G7" s="314" t="s">
        <v>24</v>
      </c>
      <c r="H7" s="323" t="s">
        <v>7</v>
      </c>
      <c r="I7" s="324"/>
      <c r="J7" s="325"/>
      <c r="K7" s="326" t="s">
        <v>8</v>
      </c>
      <c r="L7" s="327"/>
      <c r="M7" s="326" t="s">
        <v>9</v>
      </c>
      <c r="N7" s="325"/>
      <c r="O7" s="314" t="s">
        <v>113</v>
      </c>
      <c r="P7" s="331" t="s">
        <v>114</v>
      </c>
      <c r="Q7" s="324"/>
      <c r="R7" s="324"/>
      <c r="S7" s="324"/>
      <c r="T7" s="324"/>
      <c r="U7" s="324"/>
      <c r="V7" s="325"/>
      <c r="W7" s="314" t="s">
        <v>115</v>
      </c>
      <c r="X7" s="317" t="s">
        <v>13</v>
      </c>
      <c r="Y7" s="310" t="s">
        <v>116</v>
      </c>
    </row>
    <row r="8" spans="2:31" x14ac:dyDescent="0.25">
      <c r="B8" s="315"/>
      <c r="C8" s="315"/>
      <c r="D8" s="315"/>
      <c r="E8" s="318"/>
      <c r="F8" s="321"/>
      <c r="G8" s="315"/>
      <c r="H8" s="35" t="s">
        <v>117</v>
      </c>
      <c r="I8" s="33" t="s">
        <v>16</v>
      </c>
      <c r="J8" s="36" t="s">
        <v>17</v>
      </c>
      <c r="K8" s="32" t="s">
        <v>18</v>
      </c>
      <c r="L8" s="34" t="s">
        <v>19</v>
      </c>
      <c r="M8" s="329"/>
      <c r="N8" s="330"/>
      <c r="O8" s="318"/>
      <c r="P8" s="332"/>
      <c r="Q8" s="333"/>
      <c r="R8" s="333"/>
      <c r="S8" s="333"/>
      <c r="T8" s="333"/>
      <c r="U8" s="333"/>
      <c r="V8" s="330"/>
      <c r="W8" s="318"/>
      <c r="X8" s="318"/>
      <c r="Y8" s="311"/>
    </row>
    <row r="9" spans="2:31" ht="15.75" thickBot="1" x14ac:dyDescent="0.3">
      <c r="B9" s="316"/>
      <c r="C9" s="316"/>
      <c r="D9" s="316"/>
      <c r="E9" s="319"/>
      <c r="F9" s="322"/>
      <c r="G9" s="316"/>
      <c r="H9" s="41" t="s">
        <v>25</v>
      </c>
      <c r="I9" s="39" t="s">
        <v>26</v>
      </c>
      <c r="J9" s="42" t="s">
        <v>27</v>
      </c>
      <c r="K9" s="38" t="s">
        <v>28</v>
      </c>
      <c r="L9" s="40" t="s">
        <v>29</v>
      </c>
      <c r="M9" s="38" t="s">
        <v>30</v>
      </c>
      <c r="N9" s="42" t="s">
        <v>31</v>
      </c>
      <c r="O9" s="319"/>
      <c r="P9" s="41">
        <v>1</v>
      </c>
      <c r="Q9" s="39">
        <v>2</v>
      </c>
      <c r="R9" s="39">
        <v>3</v>
      </c>
      <c r="S9" s="39">
        <v>4</v>
      </c>
      <c r="T9" s="39">
        <v>5</v>
      </c>
      <c r="U9" s="39">
        <v>6</v>
      </c>
      <c r="V9" s="42">
        <v>7</v>
      </c>
      <c r="W9" s="319"/>
      <c r="X9" s="319"/>
      <c r="Y9" s="312"/>
    </row>
    <row r="10" spans="2:31" ht="21.95" customHeight="1" x14ac:dyDescent="0.25">
      <c r="B10" s="30">
        <v>1</v>
      </c>
      <c r="C10" s="51">
        <f>'2965D'!B10</f>
        <v>0</v>
      </c>
      <c r="D10" s="51">
        <f>'2965D'!C10</f>
        <v>0</v>
      </c>
      <c r="E10" s="52">
        <f>'2965D'!D10</f>
        <v>0</v>
      </c>
      <c r="F10" s="53">
        <f>'2965D'!E10</f>
        <v>0</v>
      </c>
      <c r="G10" s="54">
        <f>'2965D'!F10</f>
        <v>0</v>
      </c>
      <c r="H10" s="55" t="str">
        <f>'2965D'!G10</f>
        <v/>
      </c>
      <c r="I10" s="56" t="str">
        <f>'2965D'!H10</f>
        <v/>
      </c>
      <c r="J10" s="73" t="str">
        <f>'2965D'!I10</f>
        <v/>
      </c>
      <c r="K10" s="58" t="str">
        <f>'2965D'!J10</f>
        <v/>
      </c>
      <c r="L10" s="57" t="str">
        <f>'2965D'!K10</f>
        <v/>
      </c>
      <c r="M10" s="92" t="str">
        <f>IF(FORMATTED!K2=TRUE,"ü","")</f>
        <v/>
      </c>
      <c r="N10" s="136" t="str">
        <f>IF(FORMATTED!L2=TRUE,"ü","")</f>
        <v/>
      </c>
      <c r="O10" s="113" t="str">
        <f>'2965D'!N10</f>
        <v/>
      </c>
      <c r="P10" s="55" t="str">
        <f>'2965D'!P10</f>
        <v/>
      </c>
      <c r="Q10" s="56"/>
      <c r="R10" s="56"/>
      <c r="S10" s="59"/>
      <c r="T10" s="59"/>
      <c r="U10" s="56" t="str">
        <f>'2965D'!Q10</f>
        <v/>
      </c>
      <c r="V10" s="56" t="str">
        <f>'2965D'!R10</f>
        <v/>
      </c>
      <c r="W10" s="60"/>
      <c r="X10" s="96" t="str">
        <f>IF(FORMATTED!H2=TRUE,"ü","")</f>
        <v/>
      </c>
      <c r="Y10" s="61"/>
    </row>
    <row r="11" spans="2:31" ht="21.95" customHeight="1" x14ac:dyDescent="0.25">
      <c r="B11" s="31">
        <v>2</v>
      </c>
      <c r="C11" s="62">
        <f>'2965D'!B11</f>
        <v>0</v>
      </c>
      <c r="D11" s="62">
        <f>'2965D'!C11</f>
        <v>0</v>
      </c>
      <c r="E11" s="63">
        <f>'2965D'!D11</f>
        <v>0</v>
      </c>
      <c r="F11" s="64">
        <f>'2965D'!E11</f>
        <v>0</v>
      </c>
      <c r="G11" s="65">
        <f>'2965D'!F11</f>
        <v>0</v>
      </c>
      <c r="H11" s="66" t="str">
        <f>'2965D'!G11</f>
        <v/>
      </c>
      <c r="I11" s="67" t="str">
        <f>'2965D'!H11</f>
        <v/>
      </c>
      <c r="J11" s="74" t="str">
        <f>'2965D'!I11</f>
        <v/>
      </c>
      <c r="K11" s="70" t="str">
        <f>'2965D'!J11</f>
        <v/>
      </c>
      <c r="L11" s="68" t="str">
        <f>'2965D'!K11</f>
        <v/>
      </c>
      <c r="M11" s="93" t="str">
        <f>IF(FORMATTED!K3=TRUE,"ü","")</f>
        <v/>
      </c>
      <c r="N11" s="135" t="str">
        <f>IF(FORMATTED!L3=TRUE,"ü","")</f>
        <v/>
      </c>
      <c r="O11" s="69" t="str">
        <f>'2965D'!N11</f>
        <v/>
      </c>
      <c r="P11" s="66" t="str">
        <f>'2965D'!P11</f>
        <v/>
      </c>
      <c r="Q11" s="67"/>
      <c r="R11" s="67"/>
      <c r="S11" s="71"/>
      <c r="T11" s="71"/>
      <c r="U11" s="67" t="str">
        <f>'2965D'!Q11</f>
        <v/>
      </c>
      <c r="V11" s="67" t="str">
        <f>'2965D'!R11</f>
        <v/>
      </c>
      <c r="W11" s="63"/>
      <c r="X11" s="95" t="str">
        <f>IF(FORMATTED!H3=TRUE,"ü","")</f>
        <v/>
      </c>
      <c r="Y11" s="72"/>
    </row>
    <row r="12" spans="2:31" ht="21.95" customHeight="1" x14ac:dyDescent="0.25">
      <c r="B12" s="31">
        <v>3</v>
      </c>
      <c r="C12" s="62">
        <f>'2965D'!B12</f>
        <v>0</v>
      </c>
      <c r="D12" s="62">
        <f>'2965D'!C12</f>
        <v>0</v>
      </c>
      <c r="E12" s="63">
        <f>'2965D'!D12</f>
        <v>0</v>
      </c>
      <c r="F12" s="64">
        <f>'2965D'!E12</f>
        <v>0</v>
      </c>
      <c r="G12" s="65">
        <f>'2965D'!F12</f>
        <v>0</v>
      </c>
      <c r="H12" s="66" t="str">
        <f>'2965D'!G12</f>
        <v/>
      </c>
      <c r="I12" s="67" t="str">
        <f>'2965D'!H12</f>
        <v/>
      </c>
      <c r="J12" s="74" t="str">
        <f>'2965D'!I12</f>
        <v/>
      </c>
      <c r="K12" s="70" t="str">
        <f>'2965D'!J12</f>
        <v/>
      </c>
      <c r="L12" s="68" t="str">
        <f>'2965D'!K12</f>
        <v/>
      </c>
      <c r="M12" s="93" t="str">
        <f>IF(FORMATTED!K4=TRUE,"ü","")</f>
        <v/>
      </c>
      <c r="N12" s="135" t="str">
        <f>IF(FORMATTED!L4=TRUE,"ü","")</f>
        <v/>
      </c>
      <c r="O12" s="69" t="str">
        <f>'2965D'!N12</f>
        <v/>
      </c>
      <c r="P12" s="66" t="str">
        <f>'2965D'!P12</f>
        <v/>
      </c>
      <c r="Q12" s="67"/>
      <c r="R12" s="67"/>
      <c r="S12" s="71"/>
      <c r="T12" s="71"/>
      <c r="U12" s="67" t="str">
        <f>'2965D'!Q12</f>
        <v/>
      </c>
      <c r="V12" s="67" t="str">
        <f>'2965D'!R12</f>
        <v/>
      </c>
      <c r="W12" s="63"/>
      <c r="X12" s="95" t="str">
        <f>IF(FORMATTED!H4=TRUE,"ü","")</f>
        <v/>
      </c>
      <c r="Y12" s="72"/>
      <c r="AE12" t="s">
        <v>139</v>
      </c>
    </row>
    <row r="13" spans="2:31" ht="21.95" customHeight="1" x14ac:dyDescent="0.25">
      <c r="B13" s="31">
        <v>4</v>
      </c>
      <c r="C13" s="62">
        <f>'2965D'!B13</f>
        <v>0</v>
      </c>
      <c r="D13" s="62">
        <f>'2965D'!C13</f>
        <v>0</v>
      </c>
      <c r="E13" s="63">
        <f>'2965D'!D13</f>
        <v>0</v>
      </c>
      <c r="F13" s="64">
        <f>'2965D'!E13</f>
        <v>0</v>
      </c>
      <c r="G13" s="65">
        <f>'2965D'!F13</f>
        <v>0</v>
      </c>
      <c r="H13" s="66">
        <f>'2965D'!G13</f>
        <v>0</v>
      </c>
      <c r="I13" s="67">
        <f>'2965D'!H13</f>
        <v>0</v>
      </c>
      <c r="J13" s="74">
        <f>'2965D'!I13</f>
        <v>0</v>
      </c>
      <c r="K13" s="70">
        <f>'2965D'!J13</f>
        <v>0</v>
      </c>
      <c r="L13" s="68">
        <f>'2965D'!K13</f>
        <v>0</v>
      </c>
      <c r="M13" s="93" t="str">
        <f>IF(FORMATTED!K5=TRUE,"ü","")</f>
        <v/>
      </c>
      <c r="N13" s="135" t="str">
        <f>IF(FORMATTED!L5=TRUE,"ü","")</f>
        <v/>
      </c>
      <c r="O13" s="69">
        <f>'2965D'!N13</f>
        <v>0</v>
      </c>
      <c r="P13" s="66">
        <f>'2965D'!P13</f>
        <v>0</v>
      </c>
      <c r="Q13" s="67"/>
      <c r="R13" s="67"/>
      <c r="S13" s="71"/>
      <c r="T13" s="71"/>
      <c r="U13" s="67">
        <f>'2965D'!Q13</f>
        <v>0</v>
      </c>
      <c r="V13" s="67" t="str">
        <f>'2965D'!R13</f>
        <v/>
      </c>
      <c r="W13" s="63"/>
      <c r="X13" s="95" t="str">
        <f>IF(FORMATTED!H5=TRUE,"ü","")</f>
        <v/>
      </c>
      <c r="Y13" s="72"/>
      <c r="AE13" t="s">
        <v>140</v>
      </c>
    </row>
    <row r="14" spans="2:31" ht="21.95" customHeight="1" x14ac:dyDescent="0.25">
      <c r="B14" s="31">
        <v>5</v>
      </c>
      <c r="C14" s="62">
        <f>'2965D'!B14</f>
        <v>0</v>
      </c>
      <c r="D14" s="62">
        <f>'2965D'!C14</f>
        <v>0</v>
      </c>
      <c r="E14" s="63">
        <f>'2965D'!D14</f>
        <v>0</v>
      </c>
      <c r="F14" s="64">
        <f>'2965D'!E14</f>
        <v>0</v>
      </c>
      <c r="G14" s="65">
        <f>'2965D'!F14</f>
        <v>0</v>
      </c>
      <c r="H14" s="66" t="str">
        <f>'2965D'!G14</f>
        <v/>
      </c>
      <c r="I14" s="67" t="str">
        <f>'2965D'!H14</f>
        <v/>
      </c>
      <c r="J14" s="74" t="str">
        <f>'2965D'!I14</f>
        <v/>
      </c>
      <c r="K14" s="70" t="str">
        <f>'2965D'!J14</f>
        <v/>
      </c>
      <c r="L14" s="68" t="str">
        <f>'2965D'!K14</f>
        <v/>
      </c>
      <c r="M14" s="93" t="str">
        <f>IF(FORMATTED!K6=TRUE,"ü","")</f>
        <v/>
      </c>
      <c r="N14" s="135" t="str">
        <f>IF(FORMATTED!L6=TRUE,"ü","")</f>
        <v/>
      </c>
      <c r="O14" s="69" t="str">
        <f>'2965D'!N14</f>
        <v/>
      </c>
      <c r="P14" s="66" t="str">
        <f>'2965D'!P14</f>
        <v/>
      </c>
      <c r="Q14" s="67"/>
      <c r="R14" s="67"/>
      <c r="S14" s="71"/>
      <c r="T14" s="71"/>
      <c r="U14" s="67" t="str">
        <f>'2965D'!Q14</f>
        <v/>
      </c>
      <c r="V14" s="67" t="str">
        <f>'2965D'!R14</f>
        <v/>
      </c>
      <c r="W14" s="63"/>
      <c r="X14" s="95" t="str">
        <f>IF(FORMATTED!H6=TRUE,"ü","")</f>
        <v/>
      </c>
      <c r="Y14" s="72"/>
      <c r="AE14" t="s">
        <v>142</v>
      </c>
    </row>
    <row r="15" spans="2:31" ht="21.95" customHeight="1" x14ac:dyDescent="0.25">
      <c r="B15" s="31">
        <v>6</v>
      </c>
      <c r="C15" s="62">
        <f>'2965D'!B15</f>
        <v>0</v>
      </c>
      <c r="D15" s="62">
        <f>'2965D'!C15</f>
        <v>0</v>
      </c>
      <c r="E15" s="63">
        <f>'2965D'!D15</f>
        <v>0</v>
      </c>
      <c r="F15" s="64">
        <f>'2965D'!E15</f>
        <v>0</v>
      </c>
      <c r="G15" s="65">
        <f>'2965D'!F15</f>
        <v>0</v>
      </c>
      <c r="H15" s="66" t="str">
        <f>'2965D'!G15</f>
        <v/>
      </c>
      <c r="I15" s="67" t="str">
        <f>'2965D'!H15</f>
        <v/>
      </c>
      <c r="J15" s="74" t="str">
        <f>'2965D'!I15</f>
        <v/>
      </c>
      <c r="K15" s="70" t="str">
        <f>'2965D'!J15</f>
        <v/>
      </c>
      <c r="L15" s="68" t="str">
        <f>'2965D'!K15</f>
        <v/>
      </c>
      <c r="M15" s="93" t="str">
        <f>IF(FORMATTED!K7=TRUE,"ü","")</f>
        <v/>
      </c>
      <c r="N15" s="135" t="str">
        <f>IF(FORMATTED!L7=TRUE,"ü","")</f>
        <v/>
      </c>
      <c r="O15" s="69" t="str">
        <f>'2965D'!N15</f>
        <v/>
      </c>
      <c r="P15" s="66" t="str">
        <f>'2965D'!P15</f>
        <v/>
      </c>
      <c r="Q15" s="67"/>
      <c r="R15" s="67"/>
      <c r="S15" s="71"/>
      <c r="T15" s="71"/>
      <c r="U15" s="67" t="str">
        <f>'2965D'!Q15</f>
        <v/>
      </c>
      <c r="V15" s="67" t="str">
        <f>'2965D'!R15</f>
        <v/>
      </c>
      <c r="W15" s="63"/>
      <c r="X15" s="95" t="str">
        <f>IF(FORMATTED!H7=TRUE,"ü","")</f>
        <v/>
      </c>
      <c r="Y15" s="72"/>
      <c r="AE15" t="s">
        <v>141</v>
      </c>
    </row>
    <row r="16" spans="2:31" ht="21.95" customHeight="1" x14ac:dyDescent="0.25">
      <c r="B16" s="31">
        <v>7</v>
      </c>
      <c r="C16" s="62">
        <f>'2965D'!B16</f>
        <v>0</v>
      </c>
      <c r="D16" s="62">
        <f>'2965D'!C16</f>
        <v>0</v>
      </c>
      <c r="E16" s="63">
        <f>'2965D'!D16</f>
        <v>0</v>
      </c>
      <c r="F16" s="64">
        <f>'2965D'!E16</f>
        <v>0</v>
      </c>
      <c r="G16" s="65">
        <f>'2965D'!F16</f>
        <v>0</v>
      </c>
      <c r="H16" s="66" t="str">
        <f>'2965D'!G16</f>
        <v/>
      </c>
      <c r="I16" s="67" t="str">
        <f>'2965D'!H16</f>
        <v/>
      </c>
      <c r="J16" s="74" t="str">
        <f>'2965D'!I16</f>
        <v/>
      </c>
      <c r="K16" s="70" t="str">
        <f>'2965D'!J16</f>
        <v/>
      </c>
      <c r="L16" s="68" t="str">
        <f>'2965D'!K16</f>
        <v/>
      </c>
      <c r="M16" s="93" t="str">
        <f>IF(FORMATTED!K8=TRUE,"ü","")</f>
        <v/>
      </c>
      <c r="N16" s="135" t="str">
        <f>IF(FORMATTED!L8=TRUE,"ü","")</f>
        <v/>
      </c>
      <c r="O16" s="69" t="str">
        <f>'2965D'!N16</f>
        <v/>
      </c>
      <c r="P16" s="66" t="str">
        <f>'2965D'!P16</f>
        <v/>
      </c>
      <c r="Q16" s="67"/>
      <c r="R16" s="67"/>
      <c r="S16" s="71"/>
      <c r="T16" s="71"/>
      <c r="U16" s="67" t="str">
        <f>'2965D'!Q16</f>
        <v/>
      </c>
      <c r="V16" s="67" t="str">
        <f>'2965D'!R16</f>
        <v/>
      </c>
      <c r="W16" s="63"/>
      <c r="X16" s="95" t="str">
        <f>IF(FORMATTED!H8=TRUE,"ü","")</f>
        <v/>
      </c>
      <c r="Y16" s="72"/>
    </row>
    <row r="17" spans="2:25" ht="21.95" customHeight="1" x14ac:dyDescent="0.25">
      <c r="B17" s="31">
        <v>8</v>
      </c>
      <c r="C17" s="62">
        <f>'2965D'!B17</f>
        <v>0</v>
      </c>
      <c r="D17" s="62">
        <f>'2965D'!C17</f>
        <v>0</v>
      </c>
      <c r="E17" s="63">
        <f>'2965D'!D17</f>
        <v>0</v>
      </c>
      <c r="F17" s="64">
        <f>'2965D'!E17</f>
        <v>0</v>
      </c>
      <c r="G17" s="65">
        <f>'2965D'!F17</f>
        <v>0</v>
      </c>
      <c r="H17" s="66" t="str">
        <f>'2965D'!G17</f>
        <v/>
      </c>
      <c r="I17" s="67" t="str">
        <f>'2965D'!H17</f>
        <v/>
      </c>
      <c r="J17" s="74" t="str">
        <f>'2965D'!I17</f>
        <v/>
      </c>
      <c r="K17" s="70" t="str">
        <f>'2965D'!J17</f>
        <v/>
      </c>
      <c r="L17" s="68" t="str">
        <f>'2965D'!K17</f>
        <v/>
      </c>
      <c r="M17" s="93" t="str">
        <f>IF(FORMATTED!K9=TRUE,"ü","")</f>
        <v/>
      </c>
      <c r="N17" s="135" t="str">
        <f>IF(FORMATTED!L9=TRUE,"ü","")</f>
        <v/>
      </c>
      <c r="O17" s="69" t="str">
        <f>'2965D'!N17</f>
        <v/>
      </c>
      <c r="P17" s="66" t="str">
        <f>'2965D'!P17</f>
        <v/>
      </c>
      <c r="Q17" s="67"/>
      <c r="R17" s="67"/>
      <c r="S17" s="71"/>
      <c r="T17" s="71"/>
      <c r="U17" s="67" t="str">
        <f>'2965D'!Q17</f>
        <v/>
      </c>
      <c r="V17" s="67" t="str">
        <f>'2965D'!R17</f>
        <v/>
      </c>
      <c r="W17" s="63"/>
      <c r="X17" s="95" t="str">
        <f>IF(FORMATTED!H9=TRUE,"ü","")</f>
        <v/>
      </c>
      <c r="Y17" s="72"/>
    </row>
    <row r="18" spans="2:25" ht="21.95" customHeight="1" x14ac:dyDescent="0.25">
      <c r="B18" s="31">
        <v>9</v>
      </c>
      <c r="C18" s="62">
        <f>'2965D'!B18</f>
        <v>0</v>
      </c>
      <c r="D18" s="62">
        <f>'2965D'!C18</f>
        <v>0</v>
      </c>
      <c r="E18" s="63">
        <f>'2965D'!D18</f>
        <v>0</v>
      </c>
      <c r="F18" s="64">
        <f>'2965D'!E18</f>
        <v>0</v>
      </c>
      <c r="G18" s="65">
        <f>'2965D'!F18</f>
        <v>0</v>
      </c>
      <c r="H18" s="66" t="str">
        <f>'2965D'!G18</f>
        <v/>
      </c>
      <c r="I18" s="67" t="str">
        <f>'2965D'!H18</f>
        <v/>
      </c>
      <c r="J18" s="74" t="str">
        <f>'2965D'!I18</f>
        <v/>
      </c>
      <c r="K18" s="70" t="str">
        <f>'2965D'!J18</f>
        <v/>
      </c>
      <c r="L18" s="68" t="str">
        <f>'2965D'!K18</f>
        <v/>
      </c>
      <c r="M18" s="93" t="str">
        <f>IF(FORMATTED!K10=TRUE,"ü","")</f>
        <v/>
      </c>
      <c r="N18" s="135" t="str">
        <f>IF(FORMATTED!L10=TRUE,"ü","")</f>
        <v/>
      </c>
      <c r="O18" s="69" t="str">
        <f>'2965D'!N18</f>
        <v/>
      </c>
      <c r="P18" s="66" t="str">
        <f>'2965D'!P18</f>
        <v/>
      </c>
      <c r="Q18" s="67"/>
      <c r="R18" s="67"/>
      <c r="S18" s="71"/>
      <c r="T18" s="71"/>
      <c r="U18" s="67" t="str">
        <f>'2965D'!Q18</f>
        <v/>
      </c>
      <c r="V18" s="67" t="str">
        <f>'2965D'!R18</f>
        <v/>
      </c>
      <c r="W18" s="63"/>
      <c r="X18" s="95" t="str">
        <f>IF(FORMATTED!H10=TRUE,"ü","")</f>
        <v/>
      </c>
      <c r="Y18" s="72"/>
    </row>
    <row r="19" spans="2:25" ht="21.95" customHeight="1" x14ac:dyDescent="0.25">
      <c r="B19" s="31">
        <v>10</v>
      </c>
      <c r="C19" s="62">
        <f>'2965D'!B19</f>
        <v>0</v>
      </c>
      <c r="D19" s="62">
        <f>'2965D'!C19</f>
        <v>0</v>
      </c>
      <c r="E19" s="63">
        <f>'2965D'!D19</f>
        <v>0</v>
      </c>
      <c r="F19" s="64">
        <f>'2965D'!E19</f>
        <v>0</v>
      </c>
      <c r="G19" s="65">
        <f>'2965D'!F19</f>
        <v>0</v>
      </c>
      <c r="H19" s="66" t="str">
        <f>'2965D'!G19</f>
        <v/>
      </c>
      <c r="I19" s="67" t="str">
        <f>'2965D'!H19</f>
        <v/>
      </c>
      <c r="J19" s="74" t="str">
        <f>'2965D'!I19</f>
        <v/>
      </c>
      <c r="K19" s="70" t="str">
        <f>'2965D'!J19</f>
        <v/>
      </c>
      <c r="L19" s="68" t="str">
        <f>'2965D'!K19</f>
        <v/>
      </c>
      <c r="M19" s="93" t="str">
        <f>IF(FORMATTED!K11=TRUE,"ü","")</f>
        <v/>
      </c>
      <c r="N19" s="135" t="str">
        <f>IF(FORMATTED!L11=TRUE,"ü","")</f>
        <v/>
      </c>
      <c r="O19" s="69" t="str">
        <f>'2965D'!N19</f>
        <v/>
      </c>
      <c r="P19" s="66" t="str">
        <f>'2965D'!P19</f>
        <v/>
      </c>
      <c r="Q19" s="67"/>
      <c r="R19" s="67"/>
      <c r="S19" s="71"/>
      <c r="T19" s="71"/>
      <c r="U19" s="67" t="str">
        <f>'2965D'!Q19</f>
        <v/>
      </c>
      <c r="V19" s="67" t="str">
        <f>'2965D'!R19</f>
        <v/>
      </c>
      <c r="W19" s="63"/>
      <c r="X19" s="95" t="str">
        <f>IF(FORMATTED!H11=TRUE,"ü","")</f>
        <v/>
      </c>
      <c r="Y19" s="72"/>
    </row>
    <row r="20" spans="2:25" ht="21.95" customHeight="1" x14ac:dyDescent="0.25">
      <c r="B20" s="31">
        <v>11</v>
      </c>
      <c r="C20" s="62">
        <f>'2965D'!B20</f>
        <v>0</v>
      </c>
      <c r="D20" s="62">
        <f>'2965D'!C20</f>
        <v>0</v>
      </c>
      <c r="E20" s="63">
        <f>'2965D'!D20</f>
        <v>0</v>
      </c>
      <c r="F20" s="64">
        <f>'2965D'!E20</f>
        <v>0</v>
      </c>
      <c r="G20" s="65">
        <f>'2965D'!F20</f>
        <v>0</v>
      </c>
      <c r="H20" s="66" t="str">
        <f>'2965D'!G20</f>
        <v/>
      </c>
      <c r="I20" s="67" t="str">
        <f>'2965D'!H20</f>
        <v/>
      </c>
      <c r="J20" s="74" t="str">
        <f>'2965D'!I20</f>
        <v/>
      </c>
      <c r="K20" s="70" t="str">
        <f>'2965D'!J20</f>
        <v/>
      </c>
      <c r="L20" s="68" t="str">
        <f>'2965D'!K20</f>
        <v/>
      </c>
      <c r="M20" s="93" t="str">
        <f>IF(FORMATTED!K12=TRUE,"ü","")</f>
        <v/>
      </c>
      <c r="N20" s="135" t="str">
        <f>IF(FORMATTED!L12=TRUE,"ü","")</f>
        <v/>
      </c>
      <c r="O20" s="138" t="str">
        <f>'2965D'!N20</f>
        <v/>
      </c>
      <c r="P20" s="66" t="str">
        <f>'2965D'!P20</f>
        <v/>
      </c>
      <c r="Q20" s="67"/>
      <c r="R20" s="67"/>
      <c r="S20" s="71"/>
      <c r="T20" s="71"/>
      <c r="U20" s="67" t="str">
        <f>'2965D'!Q20</f>
        <v/>
      </c>
      <c r="V20" s="67" t="str">
        <f>'2965D'!R20</f>
        <v/>
      </c>
      <c r="W20" s="63"/>
      <c r="X20" s="95" t="str">
        <f>IF(FORMATTED!H12=TRUE,"ü","")</f>
        <v/>
      </c>
      <c r="Y20" s="72"/>
    </row>
    <row r="21" spans="2:25" ht="21.95" customHeight="1" x14ac:dyDescent="0.25">
      <c r="B21" s="31">
        <v>12</v>
      </c>
      <c r="C21" s="62">
        <f>'2965D'!B21</f>
        <v>0</v>
      </c>
      <c r="D21" s="62">
        <f>'2965D'!C21</f>
        <v>0</v>
      </c>
      <c r="E21" s="63">
        <f>'2965D'!D21</f>
        <v>0</v>
      </c>
      <c r="F21" s="64">
        <f>'2965D'!E21</f>
        <v>0</v>
      </c>
      <c r="G21" s="65">
        <f>'2965D'!F21</f>
        <v>0</v>
      </c>
      <c r="H21" s="66" t="str">
        <f>'2965D'!G21</f>
        <v/>
      </c>
      <c r="I21" s="67" t="str">
        <f>'2965D'!H21</f>
        <v/>
      </c>
      <c r="J21" s="74" t="str">
        <f>'2965D'!I21</f>
        <v/>
      </c>
      <c r="K21" s="70" t="str">
        <f>'2965D'!J21</f>
        <v/>
      </c>
      <c r="L21" s="68" t="str">
        <f>'2965D'!K21</f>
        <v/>
      </c>
      <c r="M21" s="93" t="str">
        <f>IF(FORMATTED!K13=TRUE,"ü","")</f>
        <v/>
      </c>
      <c r="N21" s="135" t="str">
        <f>IF(FORMATTED!L13=TRUE,"ü","")</f>
        <v/>
      </c>
      <c r="O21" s="138" t="str">
        <f>'2965D'!N21</f>
        <v/>
      </c>
      <c r="P21" s="66" t="str">
        <f>'2965D'!P21</f>
        <v/>
      </c>
      <c r="Q21" s="67"/>
      <c r="R21" s="67"/>
      <c r="S21" s="71"/>
      <c r="T21" s="71"/>
      <c r="U21" s="67" t="str">
        <f>'2965D'!Q21</f>
        <v/>
      </c>
      <c r="V21" s="67" t="str">
        <f>'2965D'!R21</f>
        <v/>
      </c>
      <c r="W21" s="63"/>
      <c r="X21" s="95" t="str">
        <f>IF(FORMATTED!H13=TRUE,"ü","")</f>
        <v/>
      </c>
      <c r="Y21" s="72"/>
    </row>
    <row r="22" spans="2:25" ht="21.95" customHeight="1" x14ac:dyDescent="0.25">
      <c r="B22" s="31">
        <v>13</v>
      </c>
      <c r="C22" s="62">
        <f>'2965D'!B22</f>
        <v>0</v>
      </c>
      <c r="D22" s="62">
        <f>'2965D'!C22</f>
        <v>0</v>
      </c>
      <c r="E22" s="63">
        <f>'2965D'!D22</f>
        <v>0</v>
      </c>
      <c r="F22" s="64">
        <f>'2965D'!E22</f>
        <v>0</v>
      </c>
      <c r="G22" s="65">
        <f>'2965D'!F22</f>
        <v>0</v>
      </c>
      <c r="H22" s="66" t="str">
        <f>'2965D'!G22</f>
        <v/>
      </c>
      <c r="I22" s="67" t="str">
        <f>'2965D'!H22</f>
        <v/>
      </c>
      <c r="J22" s="74" t="str">
        <f>'2965D'!I22</f>
        <v/>
      </c>
      <c r="K22" s="70" t="str">
        <f>'2965D'!J22</f>
        <v/>
      </c>
      <c r="L22" s="68" t="str">
        <f>'2965D'!K22</f>
        <v/>
      </c>
      <c r="M22" s="93" t="str">
        <f>IF(FORMATTED!K14=TRUE,"ü","")</f>
        <v/>
      </c>
      <c r="N22" s="135" t="str">
        <f>IF(FORMATTED!L14=TRUE,"ü","")</f>
        <v/>
      </c>
      <c r="O22" s="138" t="str">
        <f>'2965D'!N22</f>
        <v/>
      </c>
      <c r="P22" s="66" t="str">
        <f>'2965D'!P22</f>
        <v/>
      </c>
      <c r="Q22" s="67"/>
      <c r="R22" s="67"/>
      <c r="S22" s="71"/>
      <c r="T22" s="71"/>
      <c r="U22" s="67" t="str">
        <f>'2965D'!Q22</f>
        <v/>
      </c>
      <c r="V22" s="67" t="str">
        <f>'2965D'!R22</f>
        <v/>
      </c>
      <c r="W22" s="63"/>
      <c r="X22" s="95" t="str">
        <f>IF(FORMATTED!H14=TRUE,"ü","")</f>
        <v/>
      </c>
      <c r="Y22" s="72"/>
    </row>
    <row r="23" spans="2:25" ht="21.95" customHeight="1" x14ac:dyDescent="0.25">
      <c r="B23" s="31">
        <v>14</v>
      </c>
      <c r="C23" s="62">
        <f>'2965D'!B23</f>
        <v>0</v>
      </c>
      <c r="D23" s="62">
        <f>'2965D'!C23</f>
        <v>0</v>
      </c>
      <c r="E23" s="63">
        <f>'2965D'!D23</f>
        <v>0</v>
      </c>
      <c r="F23" s="64">
        <f>'2965D'!E23</f>
        <v>0</v>
      </c>
      <c r="G23" s="65">
        <f>'2965D'!F23</f>
        <v>0</v>
      </c>
      <c r="H23" s="66" t="str">
        <f>'2965D'!G23</f>
        <v/>
      </c>
      <c r="I23" s="67" t="str">
        <f>'2965D'!H23</f>
        <v/>
      </c>
      <c r="J23" s="74" t="str">
        <f>'2965D'!I23</f>
        <v/>
      </c>
      <c r="K23" s="70" t="str">
        <f>'2965D'!J23</f>
        <v/>
      </c>
      <c r="L23" s="68" t="str">
        <f>'2965D'!K23</f>
        <v/>
      </c>
      <c r="M23" s="93" t="str">
        <f>IF(FORMATTED!K15=TRUE,"ü","")</f>
        <v/>
      </c>
      <c r="N23" s="135" t="str">
        <f>IF(FORMATTED!L15=TRUE,"ü","")</f>
        <v/>
      </c>
      <c r="O23" s="69" t="str">
        <f>'2965D'!N23</f>
        <v/>
      </c>
      <c r="P23" s="66" t="str">
        <f>'2965D'!P23</f>
        <v/>
      </c>
      <c r="Q23" s="67"/>
      <c r="R23" s="67"/>
      <c r="S23" s="71"/>
      <c r="T23" s="71"/>
      <c r="U23" s="67" t="str">
        <f>'2965D'!Q23</f>
        <v/>
      </c>
      <c r="V23" s="67" t="str">
        <f>'2965D'!R23</f>
        <v/>
      </c>
      <c r="W23" s="63"/>
      <c r="X23" s="95" t="str">
        <f>IF(FORMATTED!H15=TRUE,"ü","")</f>
        <v/>
      </c>
      <c r="Y23" s="72"/>
    </row>
    <row r="24" spans="2:25" ht="21.95" customHeight="1" x14ac:dyDescent="0.25">
      <c r="B24" s="31">
        <v>15</v>
      </c>
      <c r="C24" s="62">
        <f>'2965D'!B24</f>
        <v>0</v>
      </c>
      <c r="D24" s="62">
        <f>'2965D'!C24</f>
        <v>0</v>
      </c>
      <c r="E24" s="63">
        <f>'2965D'!D24</f>
        <v>0</v>
      </c>
      <c r="F24" s="64">
        <f>'2965D'!E24</f>
        <v>0</v>
      </c>
      <c r="G24" s="65">
        <f>'2965D'!F24</f>
        <v>0</v>
      </c>
      <c r="H24" s="66" t="str">
        <f>'2965D'!G24</f>
        <v/>
      </c>
      <c r="I24" s="67" t="str">
        <f>'2965D'!H24</f>
        <v/>
      </c>
      <c r="J24" s="74" t="str">
        <f>'2965D'!I24</f>
        <v/>
      </c>
      <c r="K24" s="70" t="str">
        <f>'2965D'!J24</f>
        <v/>
      </c>
      <c r="L24" s="68" t="str">
        <f>'2965D'!K24</f>
        <v/>
      </c>
      <c r="M24" s="93" t="str">
        <f>IF(FORMATTED!K16=TRUE,"ü","")</f>
        <v/>
      </c>
      <c r="N24" s="135" t="str">
        <f>IF(FORMATTED!L16=TRUE,"ü","")</f>
        <v/>
      </c>
      <c r="O24" s="69" t="str">
        <f>'2965D'!N24</f>
        <v/>
      </c>
      <c r="P24" s="66" t="str">
        <f>'2965D'!P24</f>
        <v/>
      </c>
      <c r="Q24" s="67"/>
      <c r="R24" s="67"/>
      <c r="S24" s="71"/>
      <c r="T24" s="71"/>
      <c r="U24" s="67" t="str">
        <f>'2965D'!Q24</f>
        <v/>
      </c>
      <c r="V24" s="67" t="str">
        <f>'2965D'!R24</f>
        <v/>
      </c>
      <c r="W24" s="63"/>
      <c r="X24" s="95" t="str">
        <f>IF(FORMATTED!H16=TRUE,"ü","")</f>
        <v/>
      </c>
      <c r="Y24" s="72"/>
    </row>
    <row r="25" spans="2:25" ht="21.95" customHeight="1" x14ac:dyDescent="0.25">
      <c r="B25" s="31">
        <v>16</v>
      </c>
      <c r="C25" s="62">
        <f>'2965D'!B25</f>
        <v>0</v>
      </c>
      <c r="D25" s="62">
        <f>'2965D'!C25</f>
        <v>0</v>
      </c>
      <c r="E25" s="63">
        <f>'2965D'!D25</f>
        <v>0</v>
      </c>
      <c r="F25" s="64">
        <f>'2965D'!E25</f>
        <v>0</v>
      </c>
      <c r="G25" s="65">
        <f>'2965D'!F25</f>
        <v>0</v>
      </c>
      <c r="H25" s="66" t="str">
        <f>'2965D'!G25</f>
        <v/>
      </c>
      <c r="I25" s="67" t="str">
        <f>'2965D'!H25</f>
        <v/>
      </c>
      <c r="J25" s="74" t="str">
        <f>'2965D'!I25</f>
        <v/>
      </c>
      <c r="K25" s="70" t="str">
        <f>'2965D'!J25</f>
        <v/>
      </c>
      <c r="L25" s="68" t="str">
        <f>'2965D'!K25</f>
        <v/>
      </c>
      <c r="M25" s="93" t="str">
        <f>IF(FORMATTED!K17=TRUE,"ü","")</f>
        <v/>
      </c>
      <c r="N25" s="135" t="str">
        <f>IF(FORMATTED!L17=TRUE,"ü","")</f>
        <v/>
      </c>
      <c r="O25" s="69" t="str">
        <f>'2965D'!N25</f>
        <v/>
      </c>
      <c r="P25" s="66" t="str">
        <f>'2965D'!P25</f>
        <v/>
      </c>
      <c r="Q25" s="67"/>
      <c r="R25" s="67"/>
      <c r="S25" s="71"/>
      <c r="T25" s="71"/>
      <c r="U25" s="67" t="str">
        <f>'2965D'!Q25</f>
        <v/>
      </c>
      <c r="V25" s="67" t="str">
        <f>'2965D'!R25</f>
        <v/>
      </c>
      <c r="W25" s="63"/>
      <c r="X25" s="95" t="str">
        <f>IF(FORMATTED!H17=TRUE,"ü","")</f>
        <v/>
      </c>
      <c r="Y25" s="72"/>
    </row>
    <row r="26" spans="2:25" ht="21.95" customHeight="1" x14ac:dyDescent="0.25">
      <c r="B26" s="31">
        <v>17</v>
      </c>
      <c r="C26" s="62">
        <f>'2965D'!B26</f>
        <v>0</v>
      </c>
      <c r="D26" s="62">
        <f>'2965D'!C26</f>
        <v>0</v>
      </c>
      <c r="E26" s="63">
        <f>'2965D'!D26</f>
        <v>0</v>
      </c>
      <c r="F26" s="64">
        <f>'2965D'!E26</f>
        <v>0</v>
      </c>
      <c r="G26" s="65">
        <f>'2965D'!F26</f>
        <v>0</v>
      </c>
      <c r="H26" s="66" t="str">
        <f>'2965D'!G26</f>
        <v/>
      </c>
      <c r="I26" s="67" t="str">
        <f>'2965D'!H26</f>
        <v/>
      </c>
      <c r="J26" s="74" t="str">
        <f>'2965D'!I26</f>
        <v/>
      </c>
      <c r="K26" s="70" t="str">
        <f>'2965D'!J26</f>
        <v/>
      </c>
      <c r="L26" s="68" t="str">
        <f>'2965D'!K26</f>
        <v/>
      </c>
      <c r="M26" s="93" t="str">
        <f>IF(FORMATTED!K18=TRUE,"ü","")</f>
        <v/>
      </c>
      <c r="N26" s="135" t="str">
        <f>IF(FORMATTED!L18=TRUE,"ü","")</f>
        <v/>
      </c>
      <c r="O26" s="69" t="str">
        <f>'2965D'!N26</f>
        <v/>
      </c>
      <c r="P26" s="66" t="str">
        <f>'2965D'!P26</f>
        <v/>
      </c>
      <c r="Q26" s="67"/>
      <c r="R26" s="67"/>
      <c r="S26" s="71"/>
      <c r="T26" s="71"/>
      <c r="U26" s="67" t="str">
        <f>'2965D'!Q26</f>
        <v/>
      </c>
      <c r="V26" s="67" t="str">
        <f>'2965D'!R26</f>
        <v/>
      </c>
      <c r="W26" s="63"/>
      <c r="X26" s="95" t="str">
        <f>IF(FORMATTED!H18=TRUE,"ü","")</f>
        <v/>
      </c>
      <c r="Y26" s="72"/>
    </row>
    <row r="27" spans="2:25" ht="21.95" customHeight="1" x14ac:dyDescent="0.25">
      <c r="B27" s="31">
        <v>18</v>
      </c>
      <c r="C27" s="62">
        <f>'2965D'!B27</f>
        <v>0</v>
      </c>
      <c r="D27" s="62">
        <f>'2965D'!C27</f>
        <v>0</v>
      </c>
      <c r="E27" s="63">
        <f>'2965D'!D27</f>
        <v>0</v>
      </c>
      <c r="F27" s="64">
        <f>'2965D'!E27</f>
        <v>0</v>
      </c>
      <c r="G27" s="65">
        <f>'2965D'!F27</f>
        <v>0</v>
      </c>
      <c r="H27" s="66" t="str">
        <f>'2965D'!G27</f>
        <v/>
      </c>
      <c r="I27" s="67" t="str">
        <f>'2965D'!H27</f>
        <v/>
      </c>
      <c r="J27" s="74" t="str">
        <f>'2965D'!I27</f>
        <v/>
      </c>
      <c r="K27" s="70" t="str">
        <f>'2965D'!J27</f>
        <v/>
      </c>
      <c r="L27" s="68" t="str">
        <f>'2965D'!K27</f>
        <v/>
      </c>
      <c r="M27" s="93" t="str">
        <f>IF(FORMATTED!K19=TRUE,"ü","")</f>
        <v/>
      </c>
      <c r="N27" s="135" t="str">
        <f>IF(FORMATTED!L19=TRUE,"ü","")</f>
        <v/>
      </c>
      <c r="O27" s="69" t="str">
        <f>'2965D'!N27</f>
        <v/>
      </c>
      <c r="P27" s="66" t="str">
        <f>'2965D'!P27</f>
        <v/>
      </c>
      <c r="Q27" s="67"/>
      <c r="R27" s="67"/>
      <c r="S27" s="71"/>
      <c r="T27" s="71"/>
      <c r="U27" s="67" t="str">
        <f>'2965D'!Q27</f>
        <v/>
      </c>
      <c r="V27" s="67" t="str">
        <f>'2965D'!R27</f>
        <v/>
      </c>
      <c r="W27" s="63"/>
      <c r="X27" s="95" t="str">
        <f>IF(FORMATTED!H19=TRUE,"ü","")</f>
        <v/>
      </c>
      <c r="Y27" s="72"/>
    </row>
    <row r="28" spans="2:25" ht="21.95" customHeight="1" x14ac:dyDescent="0.25">
      <c r="B28" s="31">
        <v>19</v>
      </c>
      <c r="C28" s="62">
        <f>'2965D'!B28</f>
        <v>0</v>
      </c>
      <c r="D28" s="62">
        <f>'2965D'!C28</f>
        <v>0</v>
      </c>
      <c r="E28" s="63">
        <f>'2965D'!D28</f>
        <v>0</v>
      </c>
      <c r="F28" s="64">
        <f>'2965D'!E28</f>
        <v>0</v>
      </c>
      <c r="G28" s="65">
        <f>'2965D'!F28</f>
        <v>0</v>
      </c>
      <c r="H28" s="66" t="str">
        <f>'2965D'!G28</f>
        <v/>
      </c>
      <c r="I28" s="67" t="str">
        <f>'2965D'!H28</f>
        <v/>
      </c>
      <c r="J28" s="74" t="str">
        <f>'2965D'!I28</f>
        <v/>
      </c>
      <c r="K28" s="70" t="str">
        <f>'2965D'!J28</f>
        <v/>
      </c>
      <c r="L28" s="68" t="str">
        <f>'2965D'!K28</f>
        <v/>
      </c>
      <c r="M28" s="93" t="str">
        <f>IF(FORMATTED!K20=TRUE,"ü","")</f>
        <v/>
      </c>
      <c r="N28" s="135" t="str">
        <f>IF(FORMATTED!L20=TRUE,"ü","")</f>
        <v/>
      </c>
      <c r="O28" s="69" t="str">
        <f>'2965D'!N28</f>
        <v/>
      </c>
      <c r="P28" s="66" t="str">
        <f>'2965D'!P28</f>
        <v/>
      </c>
      <c r="Q28" s="67"/>
      <c r="R28" s="67"/>
      <c r="S28" s="71"/>
      <c r="T28" s="71"/>
      <c r="U28" s="67" t="str">
        <f>'2965D'!Q28</f>
        <v/>
      </c>
      <c r="V28" s="67" t="str">
        <f>'2965D'!R28</f>
        <v/>
      </c>
      <c r="W28" s="63"/>
      <c r="X28" s="95" t="str">
        <f>IF(FORMATTED!H20=TRUE,"ü","")</f>
        <v/>
      </c>
      <c r="Y28" s="72"/>
    </row>
    <row r="29" spans="2:25" ht="21.95" customHeight="1" thickBot="1" x14ac:dyDescent="0.3">
      <c r="B29" s="37">
        <v>20</v>
      </c>
      <c r="C29" s="76">
        <f>'2965D'!B29</f>
        <v>0</v>
      </c>
      <c r="D29" s="76">
        <f>'2965D'!C29</f>
        <v>0</v>
      </c>
      <c r="E29" s="77">
        <f>'2965D'!D29</f>
        <v>0</v>
      </c>
      <c r="F29" s="78">
        <f>'2965D'!E29</f>
        <v>0</v>
      </c>
      <c r="G29" s="79">
        <f>'2965D'!F29</f>
        <v>0</v>
      </c>
      <c r="H29" s="80" t="str">
        <f>'2965D'!G29</f>
        <v/>
      </c>
      <c r="I29" s="81" t="str">
        <f>'2965D'!H29</f>
        <v/>
      </c>
      <c r="J29" s="82" t="str">
        <f>'2965D'!I29</f>
        <v/>
      </c>
      <c r="K29" s="83" t="str">
        <f>'2965D'!J29</f>
        <v/>
      </c>
      <c r="L29" s="84" t="str">
        <f>'2965D'!K29</f>
        <v/>
      </c>
      <c r="M29" s="98" t="str">
        <f>IF(FORMATTED!K21=TRUE,"ü","")</f>
        <v/>
      </c>
      <c r="N29" s="137" t="str">
        <f>IF(FORMATTED!L21=TRUE,"ü","")</f>
        <v/>
      </c>
      <c r="O29" s="85" t="str">
        <f>'2965D'!N29</f>
        <v/>
      </c>
      <c r="P29" s="80" t="str">
        <f>'2965D'!P29</f>
        <v/>
      </c>
      <c r="Q29" s="81"/>
      <c r="R29" s="81"/>
      <c r="S29" s="1"/>
      <c r="T29" s="1"/>
      <c r="U29" s="81" t="str">
        <f>'2965D'!Q29</f>
        <v/>
      </c>
      <c r="V29" s="81" t="str">
        <f>'2965D'!R29</f>
        <v/>
      </c>
      <c r="W29" s="77"/>
      <c r="X29" s="97" t="str">
        <f>IF(FORMATTED!H21=TRUE,"ü","")</f>
        <v/>
      </c>
      <c r="Y29" s="86"/>
    </row>
    <row r="30" spans="2:25" ht="24.95" customHeight="1" thickBot="1" x14ac:dyDescent="0.3">
      <c r="B30" s="334" t="s">
        <v>118</v>
      </c>
      <c r="C30" s="334"/>
      <c r="D30" s="334"/>
      <c r="E30" s="14"/>
      <c r="F30" s="335" t="s">
        <v>119</v>
      </c>
      <c r="G30" s="75" t="s">
        <v>32</v>
      </c>
      <c r="H30" s="116">
        <f t="shared" ref="H30" si="0">IF(COUNTBLANK(H10:H29)=20,"",SUM(H10:H29))</f>
        <v>0</v>
      </c>
      <c r="I30" s="123">
        <f t="shared" ref="I30" si="1">IF(COUNTBLANK(I10:I29)=20,"",SUM(I10:I29))</f>
        <v>0</v>
      </c>
      <c r="J30" s="124">
        <f t="shared" ref="J30" si="2">IF(COUNTBLANK(J10:J29)=20,"",SUM(J10:J29))</f>
        <v>0</v>
      </c>
      <c r="K30" s="116">
        <f t="shared" ref="K30" si="3">IF(COUNTBLANK(K10:K29)=20,"",SUM(K10:K29))</f>
        <v>0</v>
      </c>
      <c r="L30" s="124">
        <f t="shared" ref="L30" si="4">IF(COUNTBLANK(L10:L29)=20,"",SUM(L10:L29))</f>
        <v>0</v>
      </c>
      <c r="M30" s="125"/>
      <c r="N30" s="125"/>
      <c r="O30" s="126">
        <f t="shared" ref="O30" si="5">IF(COUNTBLANK(O10:O29)=20,"",SUM(O10:O29))</f>
        <v>0</v>
      </c>
      <c r="P30" s="127">
        <f t="shared" ref="P30" si="6">IF(COUNTBLANK(P10:P29)=20,"",SUM(P10:P29))</f>
        <v>0</v>
      </c>
      <c r="Q30" s="123"/>
      <c r="R30" s="123"/>
      <c r="S30" s="123"/>
      <c r="T30" s="123"/>
      <c r="U30" s="123">
        <f>IF(COUNTBLANK(U10:U29)=20,"",SUM(U10:U29))</f>
        <v>0</v>
      </c>
      <c r="V30" s="124" t="str">
        <f t="shared" ref="V30" si="7">IF(V10="","",SUM(V10:V29))</f>
        <v/>
      </c>
      <c r="W30" s="14"/>
      <c r="X30" s="14"/>
      <c r="Y30" s="14"/>
    </row>
    <row r="31" spans="2:25" ht="24.95" customHeight="1" thickBot="1" x14ac:dyDescent="0.3">
      <c r="B31" s="334"/>
      <c r="C31" s="334"/>
      <c r="D31" s="334"/>
      <c r="E31" s="14"/>
      <c r="F31" s="336"/>
      <c r="G31" s="43" t="s">
        <v>33</v>
      </c>
      <c r="H31" s="115">
        <f t="shared" ref="H31:O31" si="8">IF(COUNTBLANK(H10:H29)=20,"",20-COUNTBLANK(H10:H29))</f>
        <v>1</v>
      </c>
      <c r="I31" s="121">
        <f t="shared" si="8"/>
        <v>1</v>
      </c>
      <c r="J31" s="122">
        <f t="shared" si="8"/>
        <v>1</v>
      </c>
      <c r="K31" s="115">
        <f t="shared" si="8"/>
        <v>1</v>
      </c>
      <c r="L31" s="122">
        <f t="shared" si="8"/>
        <v>1</v>
      </c>
      <c r="M31" s="100"/>
      <c r="N31" s="100"/>
      <c r="O31" s="119">
        <f t="shared" si="8"/>
        <v>1</v>
      </c>
      <c r="P31" s="120">
        <f>IF(COUNTBLANK(P10:P29)=20,"",20-COUNTBLANK(P10:P29))</f>
        <v>1</v>
      </c>
      <c r="Q31" s="117"/>
      <c r="R31" s="117"/>
      <c r="S31" s="117"/>
      <c r="T31" s="117"/>
      <c r="U31" s="117">
        <f t="shared" ref="U31:V31" si="9">IF(COUNTBLANK(U10:U29)=20,"",20-COUNTBLANK(U10:U29))</f>
        <v>1</v>
      </c>
      <c r="V31" s="118" t="str">
        <f t="shared" si="9"/>
        <v/>
      </c>
      <c r="W31" s="14"/>
      <c r="X31" s="14"/>
      <c r="Y31" s="14"/>
    </row>
    <row r="32" spans="2:25" x14ac:dyDescent="0.25">
      <c r="B32" s="334"/>
      <c r="C32" s="334"/>
      <c r="D32" s="334"/>
      <c r="E32" s="14"/>
      <c r="F32" s="14"/>
      <c r="G32" s="14"/>
      <c r="H32" s="14"/>
      <c r="I32" s="14"/>
      <c r="J32" s="14"/>
      <c r="K32" s="14"/>
      <c r="L32" s="14"/>
      <c r="M32" s="14"/>
      <c r="N32" s="14"/>
      <c r="O32" s="14"/>
      <c r="P32" s="14"/>
      <c r="Q32" s="14"/>
      <c r="R32" s="14"/>
      <c r="S32" s="14"/>
      <c r="T32" s="14"/>
      <c r="U32" s="14"/>
      <c r="V32" s="14"/>
      <c r="W32" s="14"/>
      <c r="X32" s="14"/>
      <c r="Y32" s="14"/>
    </row>
    <row r="33" spans="2:25" x14ac:dyDescent="0.25">
      <c r="B33" s="334"/>
      <c r="C33" s="334"/>
      <c r="D33" s="334"/>
      <c r="E33" s="14"/>
      <c r="F33" s="14"/>
      <c r="G33" s="14"/>
      <c r="H33" s="14"/>
      <c r="I33" s="14"/>
      <c r="J33" s="14"/>
      <c r="K33" s="14"/>
      <c r="L33" s="14"/>
      <c r="M33" s="14"/>
      <c r="N33" s="14"/>
      <c r="O33" s="14"/>
      <c r="P33" s="14"/>
      <c r="Q33" s="14"/>
      <c r="R33" s="14"/>
      <c r="S33" s="14"/>
      <c r="T33" s="14"/>
      <c r="U33" s="14"/>
      <c r="V33" s="14"/>
      <c r="W33" s="14"/>
      <c r="X33" s="14"/>
      <c r="Y33" s="14"/>
    </row>
    <row r="34" spans="2:25" x14ac:dyDescent="0.25">
      <c r="B34" s="334"/>
      <c r="C34" s="334"/>
      <c r="D34" s="334"/>
      <c r="E34" s="14"/>
      <c r="F34" s="14"/>
      <c r="G34" s="14"/>
      <c r="H34" s="14"/>
      <c r="I34" s="14"/>
      <c r="J34" s="14"/>
      <c r="K34" s="14"/>
      <c r="L34" s="14"/>
      <c r="M34" s="14"/>
      <c r="N34" s="14"/>
      <c r="O34" s="14"/>
      <c r="P34" s="14"/>
      <c r="Q34" s="14"/>
      <c r="R34" s="14"/>
      <c r="S34" s="14"/>
      <c r="T34" s="14"/>
      <c r="U34" s="14"/>
      <c r="V34" s="14"/>
      <c r="W34" s="14"/>
      <c r="X34" s="14"/>
      <c r="Y34" s="14"/>
    </row>
    <row r="35" spans="2:25" x14ac:dyDescent="0.25">
      <c r="B35" s="334"/>
      <c r="C35" s="334"/>
      <c r="D35" s="334"/>
      <c r="E35" s="14"/>
      <c r="F35" s="14"/>
      <c r="G35" s="14"/>
      <c r="H35" s="14"/>
      <c r="I35" s="14"/>
      <c r="J35" s="14"/>
      <c r="K35" s="14"/>
      <c r="L35" s="14"/>
      <c r="M35" s="14"/>
      <c r="N35" s="14"/>
      <c r="O35" s="14"/>
      <c r="P35" s="14"/>
      <c r="Q35" s="14"/>
      <c r="R35" s="14"/>
      <c r="S35" s="14"/>
      <c r="T35" s="14"/>
      <c r="U35" s="14"/>
      <c r="V35" s="14"/>
      <c r="W35" s="14"/>
      <c r="X35" s="14"/>
      <c r="Y35" s="14"/>
    </row>
    <row r="36" spans="2:25" x14ac:dyDescent="0.25">
      <c r="B36" s="334"/>
      <c r="C36" s="334"/>
      <c r="D36" s="334"/>
      <c r="E36" s="14"/>
      <c r="F36" s="14"/>
      <c r="G36" s="14"/>
      <c r="H36" s="14"/>
      <c r="I36" s="14"/>
      <c r="J36" s="14"/>
      <c r="K36" s="14"/>
      <c r="L36" s="14"/>
      <c r="M36" s="14"/>
      <c r="N36" s="14"/>
      <c r="O36" s="14"/>
      <c r="P36" s="14"/>
      <c r="Q36" s="14"/>
      <c r="R36" s="14"/>
      <c r="S36" s="14"/>
      <c r="T36" s="14"/>
      <c r="U36" s="14"/>
      <c r="V36" s="14"/>
      <c r="W36" s="14"/>
      <c r="X36" s="14"/>
      <c r="Y36" s="14"/>
    </row>
    <row r="37" spans="2:25" ht="35.25" customHeight="1" x14ac:dyDescent="0.25">
      <c r="B37" s="17"/>
      <c r="C37" s="17"/>
      <c r="D37" s="17"/>
    </row>
    <row r="38" spans="2:25" ht="17.25" customHeight="1" x14ac:dyDescent="0.25"/>
    <row r="39" spans="2:25" ht="18" customHeight="1" x14ac:dyDescent="0.3">
      <c r="B39" s="128"/>
      <c r="C39" s="131" t="s">
        <v>123</v>
      </c>
      <c r="D39" s="342" t="s">
        <v>3</v>
      </c>
      <c r="E39" s="342"/>
      <c r="F39" s="132">
        <f>'2965D'!$F$2</f>
        <v>0</v>
      </c>
      <c r="G39" s="133"/>
      <c r="H39" s="342" t="s">
        <v>4</v>
      </c>
      <c r="I39" s="342"/>
      <c r="J39" s="342"/>
      <c r="K39" s="342"/>
      <c r="L39" s="132" t="str">
        <f>'2965D'!$L$2</f>
        <v/>
      </c>
      <c r="M39" s="134"/>
      <c r="N39" s="133"/>
      <c r="O39" s="342" t="s">
        <v>5</v>
      </c>
      <c r="P39" s="342"/>
      <c r="Q39" s="337">
        <f>'2965D'!$O$2</f>
        <v>0</v>
      </c>
      <c r="R39" s="337"/>
      <c r="S39" s="337"/>
      <c r="T39" s="130"/>
      <c r="U39" s="128"/>
      <c r="V39" s="128"/>
      <c r="W39" s="128"/>
      <c r="X39" s="128"/>
      <c r="Y39" s="128"/>
    </row>
    <row r="40" spans="2:25" ht="15.75" thickBot="1" x14ac:dyDescent="0.3">
      <c r="B40" s="14"/>
      <c r="C40" s="14"/>
      <c r="D40" s="14"/>
      <c r="E40" s="14"/>
      <c r="F40" s="14"/>
      <c r="G40" s="14"/>
      <c r="H40" s="14"/>
      <c r="I40" s="14"/>
      <c r="J40" s="14"/>
      <c r="K40" s="14"/>
      <c r="L40" s="14"/>
      <c r="M40" s="14"/>
      <c r="N40" s="14"/>
      <c r="O40" s="14"/>
      <c r="P40" s="14"/>
      <c r="Q40" s="14"/>
      <c r="R40" s="14"/>
      <c r="S40" s="14"/>
      <c r="T40" s="14"/>
      <c r="U40" s="14"/>
      <c r="V40" s="14"/>
      <c r="W40" s="14"/>
      <c r="X40" s="14"/>
      <c r="Y40" s="14"/>
    </row>
    <row r="41" spans="2:25" x14ac:dyDescent="0.25">
      <c r="B41" s="314" t="s">
        <v>109</v>
      </c>
      <c r="C41" s="320" t="s">
        <v>110</v>
      </c>
      <c r="D41" s="314" t="s">
        <v>111</v>
      </c>
      <c r="E41" s="317" t="s">
        <v>22</v>
      </c>
      <c r="F41" s="320" t="s">
        <v>112</v>
      </c>
      <c r="G41" s="314" t="s">
        <v>24</v>
      </c>
      <c r="H41" s="326" t="s">
        <v>7</v>
      </c>
      <c r="I41" s="324"/>
      <c r="J41" s="327"/>
      <c r="K41" s="326" t="s">
        <v>8</v>
      </c>
      <c r="L41" s="327"/>
      <c r="M41" s="326" t="s">
        <v>9</v>
      </c>
      <c r="N41" s="327"/>
      <c r="O41" s="314" t="s">
        <v>113</v>
      </c>
      <c r="P41" s="331" t="s">
        <v>114</v>
      </c>
      <c r="Q41" s="324"/>
      <c r="R41" s="324"/>
      <c r="S41" s="324"/>
      <c r="T41" s="324"/>
      <c r="U41" s="324"/>
      <c r="V41" s="325"/>
      <c r="W41" s="314" t="s">
        <v>115</v>
      </c>
      <c r="X41" s="317" t="s">
        <v>13</v>
      </c>
      <c r="Y41" s="310" t="s">
        <v>116</v>
      </c>
    </row>
    <row r="42" spans="2:25" x14ac:dyDescent="0.25">
      <c r="B42" s="315"/>
      <c r="C42" s="321"/>
      <c r="D42" s="315"/>
      <c r="E42" s="318"/>
      <c r="F42" s="321"/>
      <c r="G42" s="315"/>
      <c r="H42" s="32" t="s">
        <v>117</v>
      </c>
      <c r="I42" s="33" t="s">
        <v>16</v>
      </c>
      <c r="J42" s="34" t="s">
        <v>17</v>
      </c>
      <c r="K42" s="32" t="s">
        <v>18</v>
      </c>
      <c r="L42" s="34" t="s">
        <v>19</v>
      </c>
      <c r="M42" s="329"/>
      <c r="N42" s="348"/>
      <c r="O42" s="318"/>
      <c r="P42" s="332"/>
      <c r="Q42" s="333"/>
      <c r="R42" s="333"/>
      <c r="S42" s="333"/>
      <c r="T42" s="333"/>
      <c r="U42" s="333"/>
      <c r="V42" s="330"/>
      <c r="W42" s="318"/>
      <c r="X42" s="318"/>
      <c r="Y42" s="311"/>
    </row>
    <row r="43" spans="2:25" ht="15.75" thickBot="1" x14ac:dyDescent="0.3">
      <c r="B43" s="316"/>
      <c r="C43" s="322"/>
      <c r="D43" s="316"/>
      <c r="E43" s="319"/>
      <c r="F43" s="322"/>
      <c r="G43" s="316"/>
      <c r="H43" s="38" t="s">
        <v>25</v>
      </c>
      <c r="I43" s="39" t="s">
        <v>26</v>
      </c>
      <c r="J43" s="40" t="s">
        <v>27</v>
      </c>
      <c r="K43" s="38" t="s">
        <v>28</v>
      </c>
      <c r="L43" s="40" t="s">
        <v>29</v>
      </c>
      <c r="M43" s="38" t="s">
        <v>30</v>
      </c>
      <c r="N43" s="40" t="s">
        <v>31</v>
      </c>
      <c r="O43" s="319"/>
      <c r="P43" s="41">
        <v>1</v>
      </c>
      <c r="Q43" s="39">
        <v>2</v>
      </c>
      <c r="R43" s="39">
        <v>3</v>
      </c>
      <c r="S43" s="39">
        <v>4</v>
      </c>
      <c r="T43" s="39">
        <v>5</v>
      </c>
      <c r="U43" s="39">
        <v>6</v>
      </c>
      <c r="V43" s="42">
        <v>7</v>
      </c>
      <c r="W43" s="319"/>
      <c r="X43" s="319"/>
      <c r="Y43" s="312"/>
    </row>
    <row r="44" spans="2:25" ht="24.95" customHeight="1" thickBot="1" x14ac:dyDescent="0.3">
      <c r="B44" s="338" t="s">
        <v>34</v>
      </c>
      <c r="C44" s="338"/>
      <c r="D44" s="338"/>
      <c r="E44" s="338"/>
      <c r="F44" s="338"/>
      <c r="G44" s="44" t="s">
        <v>32</v>
      </c>
      <c r="H44" s="116">
        <f t="shared" ref="H44:L44" si="10">IF(H30="","",H30)</f>
        <v>0</v>
      </c>
      <c r="I44" s="123">
        <f t="shared" si="10"/>
        <v>0</v>
      </c>
      <c r="J44" s="124">
        <f t="shared" si="10"/>
        <v>0</v>
      </c>
      <c r="K44" s="116">
        <f t="shared" si="10"/>
        <v>0</v>
      </c>
      <c r="L44" s="124">
        <f t="shared" si="10"/>
        <v>0</v>
      </c>
      <c r="M44" s="125"/>
      <c r="N44" s="125"/>
      <c r="O44" s="126">
        <f>IF(O30="","",O30)</f>
        <v>0</v>
      </c>
      <c r="P44" s="127">
        <f t="shared" ref="P44:V44" si="11">IF(P30="","",P30)</f>
        <v>0</v>
      </c>
      <c r="Q44" s="123" t="str">
        <f t="shared" si="11"/>
        <v/>
      </c>
      <c r="R44" s="123" t="str">
        <f t="shared" si="11"/>
        <v/>
      </c>
      <c r="S44" s="123" t="str">
        <f t="shared" si="11"/>
        <v/>
      </c>
      <c r="T44" s="123" t="str">
        <f t="shared" si="11"/>
        <v/>
      </c>
      <c r="U44" s="123">
        <f t="shared" si="11"/>
        <v>0</v>
      </c>
      <c r="V44" s="124" t="str">
        <f t="shared" si="11"/>
        <v/>
      </c>
      <c r="W44" s="45"/>
      <c r="X44" s="45"/>
      <c r="Y44" s="45"/>
    </row>
    <row r="45" spans="2:25" ht="24.95" customHeight="1" thickBot="1" x14ac:dyDescent="0.3">
      <c r="B45" s="339"/>
      <c r="C45" s="339"/>
      <c r="D45" s="339"/>
      <c r="E45" s="339"/>
      <c r="F45" s="339"/>
      <c r="G45" s="46" t="s">
        <v>33</v>
      </c>
      <c r="H45" s="115">
        <f t="shared" ref="H45:L45" si="12">IF(H31="","",H31)</f>
        <v>1</v>
      </c>
      <c r="I45" s="121">
        <f t="shared" si="12"/>
        <v>1</v>
      </c>
      <c r="J45" s="122">
        <f t="shared" si="12"/>
        <v>1</v>
      </c>
      <c r="K45" s="115">
        <f t="shared" si="12"/>
        <v>1</v>
      </c>
      <c r="L45" s="122">
        <f t="shared" si="12"/>
        <v>1</v>
      </c>
      <c r="M45" s="100"/>
      <c r="N45" s="100"/>
      <c r="O45" s="119">
        <f>IF(O31="","",O31)</f>
        <v>1</v>
      </c>
      <c r="P45" s="120">
        <f t="shared" ref="P45:V45" si="13">IF(P31="","",P31)</f>
        <v>1</v>
      </c>
      <c r="Q45" s="117" t="str">
        <f t="shared" si="13"/>
        <v/>
      </c>
      <c r="R45" s="117" t="str">
        <f t="shared" si="13"/>
        <v/>
      </c>
      <c r="S45" s="117" t="str">
        <f t="shared" si="13"/>
        <v/>
      </c>
      <c r="T45" s="117" t="str">
        <f t="shared" si="13"/>
        <v/>
      </c>
      <c r="U45" s="117">
        <f t="shared" si="13"/>
        <v>1</v>
      </c>
      <c r="V45" s="118" t="str">
        <f t="shared" si="13"/>
        <v/>
      </c>
      <c r="W45" s="45"/>
      <c r="X45" s="45"/>
      <c r="Y45" s="45"/>
    </row>
    <row r="46" spans="2:25" ht="24.95" customHeight="1" x14ac:dyDescent="0.25">
      <c r="B46" s="30">
        <v>21</v>
      </c>
      <c r="C46" s="105">
        <f>'2965D'!B30</f>
        <v>0</v>
      </c>
      <c r="D46" s="105">
        <f>'2965D'!C30</f>
        <v>0</v>
      </c>
      <c r="E46" s="106">
        <f>'2965D'!D30</f>
        <v>0</v>
      </c>
      <c r="F46" s="107">
        <f>'2965D'!E30</f>
        <v>0</v>
      </c>
      <c r="G46" s="108">
        <f>'2965D'!F30</f>
        <v>0</v>
      </c>
      <c r="H46" s="109" t="str">
        <f>'2965D'!G30</f>
        <v/>
      </c>
      <c r="I46" s="102" t="str">
        <f>'2965D'!H30</f>
        <v/>
      </c>
      <c r="J46" s="110" t="str">
        <f>'2965D'!I30</f>
        <v/>
      </c>
      <c r="K46" s="101" t="str">
        <f>'2965D'!J30</f>
        <v/>
      </c>
      <c r="L46" s="104" t="str">
        <f>'2965D'!K30</f>
        <v/>
      </c>
      <c r="M46" s="111" t="str">
        <f>IF(FORMATTED!K22=TRUE,"ü","")</f>
        <v/>
      </c>
      <c r="N46" s="112" t="str">
        <f>IF(FORMATTED!L22=TRUE,"ü","")</f>
        <v/>
      </c>
      <c r="O46" s="113" t="str">
        <f>'2965D'!N30</f>
        <v/>
      </c>
      <c r="P46" s="101" t="str">
        <f>'2965D'!P30</f>
        <v/>
      </c>
      <c r="Q46" s="102"/>
      <c r="R46" s="102"/>
      <c r="S46" s="103"/>
      <c r="T46" s="103"/>
      <c r="U46" s="102" t="str">
        <f>'2965D'!Q30</f>
        <v/>
      </c>
      <c r="V46" s="104" t="str">
        <f>'2965D'!R30</f>
        <v/>
      </c>
      <c r="W46" s="106">
        <f>'2965D'!V30</f>
        <v>0</v>
      </c>
      <c r="X46" s="96" t="str">
        <f>IF(FORMATTED!H22=TRUE,"ü","")</f>
        <v/>
      </c>
      <c r="Y46" s="114"/>
    </row>
    <row r="47" spans="2:25" ht="24.95" customHeight="1" thickBot="1" x14ac:dyDescent="0.3">
      <c r="B47" s="31">
        <v>22</v>
      </c>
      <c r="C47" s="62">
        <f>'2965D'!B31</f>
        <v>0</v>
      </c>
      <c r="D47" s="62">
        <f>'2965D'!C31</f>
        <v>0</v>
      </c>
      <c r="E47" s="63">
        <f>'2965D'!D31</f>
        <v>0</v>
      </c>
      <c r="F47" s="64">
        <f>'2965D'!E31</f>
        <v>0</v>
      </c>
      <c r="G47" s="65">
        <f>'2965D'!F31</f>
        <v>0</v>
      </c>
      <c r="H47" s="66" t="str">
        <f>'2965D'!G31</f>
        <v/>
      </c>
      <c r="I47" s="67" t="str">
        <f>'2965D'!H31</f>
        <v/>
      </c>
      <c r="J47" s="74" t="str">
        <f>'2965D'!I31</f>
        <v/>
      </c>
      <c r="K47" s="70" t="str">
        <f>'2965D'!J31</f>
        <v/>
      </c>
      <c r="L47" s="68" t="str">
        <f>'2965D'!K31</f>
        <v/>
      </c>
      <c r="M47" s="93" t="str">
        <f>IF(FORMATTED!K23=TRUE,"ü","")</f>
        <v/>
      </c>
      <c r="N47" s="94" t="str">
        <f>IF(FORMATTED!L23=TRUE,"ü","")</f>
        <v/>
      </c>
      <c r="O47" s="69" t="str">
        <f>'2965D'!N31</f>
        <v/>
      </c>
      <c r="P47" s="70" t="str">
        <f>'2965D'!P31</f>
        <v/>
      </c>
      <c r="Q47" s="67"/>
      <c r="R47" s="67"/>
      <c r="S47" s="71"/>
      <c r="T47" s="71"/>
      <c r="U47" s="67" t="str">
        <f>'2965D'!Q31</f>
        <v/>
      </c>
      <c r="V47" s="68" t="str">
        <f>'2965D'!R31</f>
        <v/>
      </c>
      <c r="W47" s="63">
        <f>'2965D'!V31</f>
        <v>0</v>
      </c>
      <c r="X47" s="95" t="str">
        <f>IF(FORMATTED!H23=TRUE,"ü","")</f>
        <v/>
      </c>
      <c r="Y47" s="72"/>
    </row>
    <row r="48" spans="2:25" ht="24.95" customHeight="1" x14ac:dyDescent="0.25">
      <c r="B48" s="30">
        <v>23</v>
      </c>
      <c r="C48" s="62">
        <f>'2965D'!B32</f>
        <v>0</v>
      </c>
      <c r="D48" s="62">
        <f>'2965D'!C32</f>
        <v>0</v>
      </c>
      <c r="E48" s="63">
        <f>'2965D'!D32</f>
        <v>0</v>
      </c>
      <c r="F48" s="64">
        <f>'2965D'!E32</f>
        <v>0</v>
      </c>
      <c r="G48" s="65">
        <f>'2965D'!F32</f>
        <v>0</v>
      </c>
      <c r="H48" s="66" t="str">
        <f>'2965D'!G32</f>
        <v/>
      </c>
      <c r="I48" s="67" t="str">
        <f>'2965D'!H32</f>
        <v/>
      </c>
      <c r="J48" s="74" t="str">
        <f>'2965D'!I32</f>
        <v/>
      </c>
      <c r="K48" s="70" t="str">
        <f>'2965D'!J32</f>
        <v/>
      </c>
      <c r="L48" s="68" t="str">
        <f>'2965D'!K32</f>
        <v/>
      </c>
      <c r="M48" s="93" t="str">
        <f>IF(FORMATTED!K24=TRUE,"ü","")</f>
        <v/>
      </c>
      <c r="N48" s="94" t="str">
        <f>IF(FORMATTED!L24=TRUE,"ü","")</f>
        <v/>
      </c>
      <c r="O48" s="69" t="str">
        <f>'2965D'!N32</f>
        <v/>
      </c>
      <c r="P48" s="70" t="str">
        <f>'2965D'!P32</f>
        <v/>
      </c>
      <c r="Q48" s="67"/>
      <c r="R48" s="67"/>
      <c r="S48" s="71"/>
      <c r="T48" s="71"/>
      <c r="U48" s="67" t="str">
        <f>'2965D'!Q32</f>
        <v/>
      </c>
      <c r="V48" s="68" t="str">
        <f>'2965D'!R32</f>
        <v/>
      </c>
      <c r="W48" s="63">
        <f>'2965D'!V32</f>
        <v>0</v>
      </c>
      <c r="X48" s="95" t="str">
        <f>IF(FORMATTED!H24=TRUE,"ü","")</f>
        <v/>
      </c>
      <c r="Y48" s="72"/>
    </row>
    <row r="49" spans="2:25" ht="24.95" customHeight="1" thickBot="1" x14ac:dyDescent="0.3">
      <c r="B49" s="31">
        <v>24</v>
      </c>
      <c r="C49" s="62">
        <f>'2965D'!B33</f>
        <v>0</v>
      </c>
      <c r="D49" s="62">
        <f>'2965D'!C33</f>
        <v>0</v>
      </c>
      <c r="E49" s="63">
        <f>'2965D'!D33</f>
        <v>0</v>
      </c>
      <c r="F49" s="64">
        <f>'2965D'!E33</f>
        <v>0</v>
      </c>
      <c r="G49" s="65">
        <f>'2965D'!F33</f>
        <v>0</v>
      </c>
      <c r="H49" s="66" t="str">
        <f>'2965D'!G33</f>
        <v/>
      </c>
      <c r="I49" s="67" t="str">
        <f>'2965D'!H33</f>
        <v/>
      </c>
      <c r="J49" s="74" t="str">
        <f>'2965D'!I33</f>
        <v/>
      </c>
      <c r="K49" s="70" t="str">
        <f>'2965D'!J33</f>
        <v/>
      </c>
      <c r="L49" s="68" t="str">
        <f>'2965D'!K33</f>
        <v/>
      </c>
      <c r="M49" s="93" t="str">
        <f>IF(FORMATTED!K25=TRUE,"ü","")</f>
        <v/>
      </c>
      <c r="N49" s="94" t="str">
        <f>IF(FORMATTED!L25=TRUE,"ü","")</f>
        <v/>
      </c>
      <c r="O49" s="69" t="str">
        <f>'2965D'!N33</f>
        <v/>
      </c>
      <c r="P49" s="70" t="str">
        <f>'2965D'!P33</f>
        <v/>
      </c>
      <c r="Q49" s="67"/>
      <c r="R49" s="67"/>
      <c r="S49" s="71"/>
      <c r="T49" s="71"/>
      <c r="U49" s="67" t="str">
        <f>'2965D'!Q33</f>
        <v/>
      </c>
      <c r="V49" s="68" t="str">
        <f>'2965D'!R33</f>
        <v/>
      </c>
      <c r="W49" s="63">
        <f>'2965D'!V33</f>
        <v>0</v>
      </c>
      <c r="X49" s="95" t="str">
        <f>IF(FORMATTED!H25=TRUE,"ü","")</f>
        <v/>
      </c>
      <c r="Y49" s="72"/>
    </row>
    <row r="50" spans="2:25" ht="24.95" customHeight="1" x14ac:dyDescent="0.25">
      <c r="B50" s="30">
        <v>25</v>
      </c>
      <c r="C50" s="62">
        <f>'2965D'!B34</f>
        <v>0</v>
      </c>
      <c r="D50" s="62">
        <f>'2965D'!C34</f>
        <v>0</v>
      </c>
      <c r="E50" s="63">
        <f>'2965D'!D34</f>
        <v>0</v>
      </c>
      <c r="F50" s="64">
        <f>'2965D'!E34</f>
        <v>0</v>
      </c>
      <c r="G50" s="65">
        <f>'2965D'!F34</f>
        <v>0</v>
      </c>
      <c r="H50" s="66" t="str">
        <f>'2965D'!G34</f>
        <v/>
      </c>
      <c r="I50" s="67" t="str">
        <f>'2965D'!H34</f>
        <v/>
      </c>
      <c r="J50" s="74" t="str">
        <f>'2965D'!I34</f>
        <v/>
      </c>
      <c r="K50" s="70" t="str">
        <f>'2965D'!J34</f>
        <v/>
      </c>
      <c r="L50" s="68" t="str">
        <f>'2965D'!K34</f>
        <v/>
      </c>
      <c r="M50" s="93" t="str">
        <f>IF(FORMATTED!K26=TRUE,"ü","")</f>
        <v/>
      </c>
      <c r="N50" s="94" t="str">
        <f>IF(FORMATTED!L26=TRUE,"ü","")</f>
        <v/>
      </c>
      <c r="O50" s="69" t="str">
        <f>'2965D'!N34</f>
        <v/>
      </c>
      <c r="P50" s="70" t="str">
        <f>'2965D'!P34</f>
        <v/>
      </c>
      <c r="Q50" s="67"/>
      <c r="R50" s="67"/>
      <c r="S50" s="71"/>
      <c r="T50" s="71"/>
      <c r="U50" s="67" t="str">
        <f>'2965D'!Q34</f>
        <v/>
      </c>
      <c r="V50" s="68" t="str">
        <f>'2965D'!R34</f>
        <v/>
      </c>
      <c r="W50" s="63">
        <f>'2965D'!V34</f>
        <v>0</v>
      </c>
      <c r="X50" s="95" t="str">
        <f>IF(FORMATTED!H26=TRUE,"ü","")</f>
        <v/>
      </c>
      <c r="Y50" s="72"/>
    </row>
    <row r="51" spans="2:25" ht="24.95" customHeight="1" thickBot="1" x14ac:dyDescent="0.3">
      <c r="B51" s="31">
        <v>26</v>
      </c>
      <c r="C51" s="62">
        <f>'2965D'!B35</f>
        <v>0</v>
      </c>
      <c r="D51" s="62">
        <f>'2965D'!C35</f>
        <v>0</v>
      </c>
      <c r="E51" s="63">
        <f>'2965D'!D35</f>
        <v>0</v>
      </c>
      <c r="F51" s="64">
        <f>'2965D'!E35</f>
        <v>0</v>
      </c>
      <c r="G51" s="65">
        <f>'2965D'!F35</f>
        <v>0</v>
      </c>
      <c r="H51" s="66" t="str">
        <f>'2965D'!G35</f>
        <v/>
      </c>
      <c r="I51" s="67" t="str">
        <f>'2965D'!H35</f>
        <v/>
      </c>
      <c r="J51" s="74" t="str">
        <f>'2965D'!I35</f>
        <v/>
      </c>
      <c r="K51" s="70" t="str">
        <f>'2965D'!J35</f>
        <v/>
      </c>
      <c r="L51" s="68" t="str">
        <f>'2965D'!K35</f>
        <v/>
      </c>
      <c r="M51" s="93" t="str">
        <f>IF(FORMATTED!K27=TRUE,"ü","")</f>
        <v/>
      </c>
      <c r="N51" s="94" t="str">
        <f>IF(FORMATTED!L27=TRUE,"ü","")</f>
        <v/>
      </c>
      <c r="O51" s="69" t="str">
        <f>'2965D'!N35</f>
        <v/>
      </c>
      <c r="P51" s="70" t="str">
        <f>'2965D'!P35</f>
        <v/>
      </c>
      <c r="Q51" s="67"/>
      <c r="R51" s="67"/>
      <c r="S51" s="71"/>
      <c r="T51" s="71"/>
      <c r="U51" s="67" t="str">
        <f>'2965D'!Q35</f>
        <v/>
      </c>
      <c r="V51" s="68" t="str">
        <f>'2965D'!R35</f>
        <v/>
      </c>
      <c r="W51" s="63">
        <f>'2965D'!V35</f>
        <v>0</v>
      </c>
      <c r="X51" s="95" t="str">
        <f>IF(FORMATTED!H27=TRUE,"ü","")</f>
        <v/>
      </c>
      <c r="Y51" s="72"/>
    </row>
    <row r="52" spans="2:25" ht="24.95" customHeight="1" x14ac:dyDescent="0.25">
      <c r="B52" s="30">
        <v>27</v>
      </c>
      <c r="C52" s="62">
        <f>'2965D'!B36</f>
        <v>0</v>
      </c>
      <c r="D52" s="62">
        <f>'2965D'!C36</f>
        <v>0</v>
      </c>
      <c r="E52" s="63">
        <f>'2965D'!D36</f>
        <v>0</v>
      </c>
      <c r="F52" s="64">
        <f>'2965D'!E36</f>
        <v>0</v>
      </c>
      <c r="G52" s="65">
        <f>'2965D'!F36</f>
        <v>0</v>
      </c>
      <c r="H52" s="66" t="str">
        <f>'2965D'!G36</f>
        <v/>
      </c>
      <c r="I52" s="67" t="str">
        <f>'2965D'!H36</f>
        <v/>
      </c>
      <c r="J52" s="74" t="str">
        <f>'2965D'!I36</f>
        <v/>
      </c>
      <c r="K52" s="70" t="str">
        <f>'2965D'!J36</f>
        <v/>
      </c>
      <c r="L52" s="68" t="str">
        <f>'2965D'!K36</f>
        <v/>
      </c>
      <c r="M52" s="93" t="str">
        <f>IF(FORMATTED!K28=TRUE,"ü","")</f>
        <v/>
      </c>
      <c r="N52" s="94" t="str">
        <f>IF(FORMATTED!L28=TRUE,"ü","")</f>
        <v/>
      </c>
      <c r="O52" s="69" t="str">
        <f>'2965D'!N36</f>
        <v/>
      </c>
      <c r="P52" s="70" t="str">
        <f>'2965D'!P36</f>
        <v/>
      </c>
      <c r="Q52" s="67"/>
      <c r="R52" s="67"/>
      <c r="S52" s="71"/>
      <c r="T52" s="71"/>
      <c r="U52" s="67" t="str">
        <f>'2965D'!Q36</f>
        <v/>
      </c>
      <c r="V52" s="68" t="str">
        <f>'2965D'!R36</f>
        <v/>
      </c>
      <c r="W52" s="63">
        <f>'2965D'!V36</f>
        <v>0</v>
      </c>
      <c r="X52" s="95" t="str">
        <f>IF(FORMATTED!H28=TRUE,"ü","")</f>
        <v/>
      </c>
      <c r="Y52" s="72"/>
    </row>
    <row r="53" spans="2:25" ht="24.95" customHeight="1" thickBot="1" x14ac:dyDescent="0.3">
      <c r="B53" s="31">
        <v>28</v>
      </c>
      <c r="C53" s="62">
        <f>'2965D'!B37</f>
        <v>0</v>
      </c>
      <c r="D53" s="62">
        <f>'2965D'!C37</f>
        <v>0</v>
      </c>
      <c r="E53" s="63">
        <f>'2965D'!D37</f>
        <v>0</v>
      </c>
      <c r="F53" s="64">
        <f>'2965D'!E37</f>
        <v>0</v>
      </c>
      <c r="G53" s="65">
        <f>'2965D'!F37</f>
        <v>0</v>
      </c>
      <c r="H53" s="66" t="str">
        <f>'2965D'!G37</f>
        <v/>
      </c>
      <c r="I53" s="67" t="str">
        <f>'2965D'!H37</f>
        <v/>
      </c>
      <c r="J53" s="74" t="str">
        <f>'2965D'!I37</f>
        <v/>
      </c>
      <c r="K53" s="70" t="str">
        <f>'2965D'!J37</f>
        <v/>
      </c>
      <c r="L53" s="68" t="str">
        <f>'2965D'!K37</f>
        <v/>
      </c>
      <c r="M53" s="93" t="str">
        <f>IF(FORMATTED!K29=TRUE,"ü","")</f>
        <v/>
      </c>
      <c r="N53" s="94" t="str">
        <f>IF(FORMATTED!L29=TRUE,"ü","")</f>
        <v/>
      </c>
      <c r="O53" s="69" t="str">
        <f>'2965D'!N37</f>
        <v/>
      </c>
      <c r="P53" s="70" t="str">
        <f>'2965D'!P37</f>
        <v/>
      </c>
      <c r="Q53" s="67"/>
      <c r="R53" s="67"/>
      <c r="S53" s="71"/>
      <c r="T53" s="71"/>
      <c r="U53" s="67" t="str">
        <f>'2965D'!Q37</f>
        <v/>
      </c>
      <c r="V53" s="68" t="str">
        <f>'2965D'!R37</f>
        <v/>
      </c>
      <c r="W53" s="63">
        <f>'2965D'!V37</f>
        <v>0</v>
      </c>
      <c r="X53" s="95" t="str">
        <f>IF(FORMATTED!H29=TRUE,"ü","")</f>
        <v/>
      </c>
      <c r="Y53" s="72"/>
    </row>
    <row r="54" spans="2:25" ht="24.95" customHeight="1" x14ac:dyDescent="0.25">
      <c r="B54" s="30">
        <v>29</v>
      </c>
      <c r="C54" s="62">
        <f>'2965D'!B38</f>
        <v>0</v>
      </c>
      <c r="D54" s="62">
        <f>'2965D'!C38</f>
        <v>0</v>
      </c>
      <c r="E54" s="63">
        <f>'2965D'!D38</f>
        <v>0</v>
      </c>
      <c r="F54" s="64">
        <f>'2965D'!E38</f>
        <v>0</v>
      </c>
      <c r="G54" s="65">
        <f>'2965D'!F38</f>
        <v>0</v>
      </c>
      <c r="H54" s="66" t="str">
        <f>'2965D'!G38</f>
        <v/>
      </c>
      <c r="I54" s="67" t="str">
        <f>'2965D'!H38</f>
        <v/>
      </c>
      <c r="J54" s="74" t="str">
        <f>'2965D'!I38</f>
        <v/>
      </c>
      <c r="K54" s="70" t="str">
        <f>'2965D'!J38</f>
        <v/>
      </c>
      <c r="L54" s="68" t="str">
        <f>'2965D'!K38</f>
        <v/>
      </c>
      <c r="M54" s="93" t="str">
        <f>IF(FORMATTED!K30=TRUE,"ü","")</f>
        <v/>
      </c>
      <c r="N54" s="94" t="str">
        <f>IF(FORMATTED!L30=TRUE,"ü","")</f>
        <v/>
      </c>
      <c r="O54" s="69" t="str">
        <f>'2965D'!N38</f>
        <v/>
      </c>
      <c r="P54" s="70" t="str">
        <f>'2965D'!P38</f>
        <v/>
      </c>
      <c r="Q54" s="67"/>
      <c r="R54" s="67"/>
      <c r="S54" s="71"/>
      <c r="T54" s="71"/>
      <c r="U54" s="67" t="str">
        <f>'2965D'!Q38</f>
        <v/>
      </c>
      <c r="V54" s="68" t="str">
        <f>'2965D'!R38</f>
        <v/>
      </c>
      <c r="W54" s="63">
        <f>'2965D'!V38</f>
        <v>0</v>
      </c>
      <c r="X54" s="95" t="str">
        <f>IF(FORMATTED!H30=TRUE,"ü","")</f>
        <v/>
      </c>
      <c r="Y54" s="72"/>
    </row>
    <row r="55" spans="2:25" ht="24.95" customHeight="1" thickBot="1" x14ac:dyDescent="0.3">
      <c r="B55" s="31">
        <v>30</v>
      </c>
      <c r="C55" s="62">
        <f>'2965D'!B39</f>
        <v>0</v>
      </c>
      <c r="D55" s="62">
        <f>'2965D'!C39</f>
        <v>0</v>
      </c>
      <c r="E55" s="63">
        <f>'2965D'!D39</f>
        <v>0</v>
      </c>
      <c r="F55" s="64">
        <f>'2965D'!E39</f>
        <v>0</v>
      </c>
      <c r="G55" s="65">
        <f>'2965D'!F39</f>
        <v>0</v>
      </c>
      <c r="H55" s="66" t="str">
        <f>'2965D'!G39</f>
        <v/>
      </c>
      <c r="I55" s="67" t="str">
        <f>'2965D'!H39</f>
        <v/>
      </c>
      <c r="J55" s="74" t="str">
        <f>'2965D'!I39</f>
        <v/>
      </c>
      <c r="K55" s="70" t="str">
        <f>'2965D'!J39</f>
        <v/>
      </c>
      <c r="L55" s="68" t="str">
        <f>'2965D'!K39</f>
        <v/>
      </c>
      <c r="M55" s="93" t="str">
        <f>IF(FORMATTED!K31=TRUE,"ü","")</f>
        <v/>
      </c>
      <c r="N55" s="94" t="str">
        <f>IF(FORMATTED!L31=TRUE,"ü","")</f>
        <v/>
      </c>
      <c r="O55" s="69" t="str">
        <f>'2965D'!N39</f>
        <v/>
      </c>
      <c r="P55" s="70" t="str">
        <f>'2965D'!P39</f>
        <v/>
      </c>
      <c r="Q55" s="67"/>
      <c r="R55" s="67"/>
      <c r="S55" s="71"/>
      <c r="T55" s="71"/>
      <c r="U55" s="67" t="str">
        <f>'2965D'!Q39</f>
        <v/>
      </c>
      <c r="V55" s="68" t="str">
        <f>'2965D'!R39</f>
        <v/>
      </c>
      <c r="W55" s="63">
        <f>'2965D'!V39</f>
        <v>0</v>
      </c>
      <c r="X55" s="95" t="str">
        <f>IF(FORMATTED!H31=TRUE,"ü","")</f>
        <v/>
      </c>
      <c r="Y55" s="72"/>
    </row>
    <row r="56" spans="2:25" ht="24.95" customHeight="1" x14ac:dyDescent="0.25">
      <c r="B56" s="30">
        <v>31</v>
      </c>
      <c r="C56" s="62">
        <f>'2965D'!B40</f>
        <v>0</v>
      </c>
      <c r="D56" s="62">
        <f>'2965D'!C40</f>
        <v>0</v>
      </c>
      <c r="E56" s="63">
        <f>'2965D'!D40</f>
        <v>0</v>
      </c>
      <c r="F56" s="64">
        <f>'2965D'!E40</f>
        <v>0</v>
      </c>
      <c r="G56" s="65">
        <f>'2965D'!F40</f>
        <v>0</v>
      </c>
      <c r="H56" s="66" t="str">
        <f>'2965D'!G40</f>
        <v/>
      </c>
      <c r="I56" s="67" t="str">
        <f>'2965D'!H40</f>
        <v/>
      </c>
      <c r="J56" s="74" t="str">
        <f>'2965D'!I40</f>
        <v/>
      </c>
      <c r="K56" s="70" t="str">
        <f>'2965D'!J40</f>
        <v/>
      </c>
      <c r="L56" s="68" t="str">
        <f>'2965D'!K40</f>
        <v/>
      </c>
      <c r="M56" s="93" t="str">
        <f>IF(FORMATTED!K32=TRUE,"ü","")</f>
        <v/>
      </c>
      <c r="N56" s="94" t="str">
        <f>IF(FORMATTED!L32=TRUE,"ü","")</f>
        <v/>
      </c>
      <c r="O56" s="69" t="str">
        <f>'2965D'!N40</f>
        <v/>
      </c>
      <c r="P56" s="70" t="str">
        <f>'2965D'!P40</f>
        <v/>
      </c>
      <c r="Q56" s="67"/>
      <c r="R56" s="67"/>
      <c r="S56" s="71"/>
      <c r="T56" s="71"/>
      <c r="U56" s="67" t="str">
        <f>'2965D'!Q40</f>
        <v/>
      </c>
      <c r="V56" s="68" t="str">
        <f>'2965D'!R40</f>
        <v/>
      </c>
      <c r="W56" s="63">
        <f>'2965D'!V40</f>
        <v>0</v>
      </c>
      <c r="X56" s="95" t="str">
        <f>IF(FORMATTED!H32=TRUE,"ü","")</f>
        <v/>
      </c>
      <c r="Y56" s="72"/>
    </row>
    <row r="57" spans="2:25" ht="24.95" customHeight="1" thickBot="1" x14ac:dyDescent="0.3">
      <c r="B57" s="37">
        <v>32</v>
      </c>
      <c r="C57" s="76">
        <f>'2965D'!B41</f>
        <v>0</v>
      </c>
      <c r="D57" s="76">
        <f>'2965D'!C41</f>
        <v>0</v>
      </c>
      <c r="E57" s="77">
        <f>'2965D'!D41</f>
        <v>0</v>
      </c>
      <c r="F57" s="78">
        <f>'2965D'!E41</f>
        <v>0</v>
      </c>
      <c r="G57" s="79">
        <f>'2965D'!F41</f>
        <v>0</v>
      </c>
      <c r="H57" s="80" t="str">
        <f>'2965D'!G41</f>
        <v/>
      </c>
      <c r="I57" s="81" t="str">
        <f>'2965D'!H41</f>
        <v/>
      </c>
      <c r="J57" s="82" t="str">
        <f>'2965D'!I41</f>
        <v/>
      </c>
      <c r="K57" s="83" t="str">
        <f>'2965D'!J41</f>
        <v/>
      </c>
      <c r="L57" s="84" t="str">
        <f>'2965D'!K41</f>
        <v/>
      </c>
      <c r="M57" s="98" t="str">
        <f>IF(FORMATTED!K33=TRUE,"ü","")</f>
        <v/>
      </c>
      <c r="N57" s="99" t="str">
        <f>IF(FORMATTED!L33=TRUE,"ü","")</f>
        <v/>
      </c>
      <c r="O57" s="85" t="str">
        <f>'2965D'!N41</f>
        <v/>
      </c>
      <c r="P57" s="83" t="str">
        <f>'2965D'!P41</f>
        <v/>
      </c>
      <c r="Q57" s="81"/>
      <c r="R57" s="81"/>
      <c r="S57" s="1"/>
      <c r="T57" s="1"/>
      <c r="U57" s="81" t="str">
        <f>'2965D'!Q41</f>
        <v/>
      </c>
      <c r="V57" s="84" t="str">
        <f>'2965D'!R41</f>
        <v/>
      </c>
      <c r="W57" s="77">
        <f>'2965D'!V41</f>
        <v>0</v>
      </c>
      <c r="X57" s="97" t="str">
        <f>IF(FORMATTED!H33=TRUE,"ü","")</f>
        <v/>
      </c>
      <c r="Y57" s="86"/>
    </row>
    <row r="58" spans="2:25" ht="24.95" customHeight="1" thickBot="1" x14ac:dyDescent="0.3">
      <c r="C58" s="47"/>
      <c r="D58" s="47"/>
      <c r="E58" s="14"/>
      <c r="F58" s="340" t="s">
        <v>35</v>
      </c>
      <c r="G58" s="340"/>
      <c r="H58" s="116">
        <f>IF(H44="","",H44+SUM(H46:H57))</f>
        <v>0</v>
      </c>
      <c r="I58" s="123">
        <f t="shared" ref="I58:V58" si="14">IF(I44="","",I44+SUM(I46:I57))</f>
        <v>0</v>
      </c>
      <c r="J58" s="124">
        <f t="shared" si="14"/>
        <v>0</v>
      </c>
      <c r="K58" s="116">
        <f t="shared" si="14"/>
        <v>0</v>
      </c>
      <c r="L58" s="124">
        <f t="shared" si="14"/>
        <v>0</v>
      </c>
      <c r="M58" s="125"/>
      <c r="N58" s="125"/>
      <c r="O58" s="126">
        <f t="shared" si="14"/>
        <v>0</v>
      </c>
      <c r="P58" s="127">
        <f t="shared" si="14"/>
        <v>0</v>
      </c>
      <c r="Q58" s="123" t="str">
        <f t="shared" si="14"/>
        <v/>
      </c>
      <c r="R58" s="123" t="str">
        <f t="shared" si="14"/>
        <v/>
      </c>
      <c r="S58" s="123" t="str">
        <f t="shared" si="14"/>
        <v/>
      </c>
      <c r="T58" s="123" t="str">
        <f t="shared" si="14"/>
        <v/>
      </c>
      <c r="U58" s="123">
        <f t="shared" si="14"/>
        <v>0</v>
      </c>
      <c r="V58" s="124" t="str">
        <f t="shared" si="14"/>
        <v/>
      </c>
      <c r="W58" s="14"/>
      <c r="X58" s="14"/>
      <c r="Y58" s="14"/>
    </row>
    <row r="59" spans="2:25" ht="24.95" customHeight="1" thickBot="1" x14ac:dyDescent="0.3">
      <c r="B59" s="47"/>
      <c r="C59" s="47"/>
      <c r="D59" s="47"/>
      <c r="E59" s="14"/>
      <c r="F59" s="341" t="s">
        <v>36</v>
      </c>
      <c r="G59" s="341"/>
      <c r="H59" s="115">
        <f>IF(H45="","",H45+12-COUNTBLANK(H$46:H$57))</f>
        <v>1</v>
      </c>
      <c r="I59" s="121">
        <f t="shared" ref="I59:V59" si="15">IF(I45="","",I45+12-COUNTBLANK(I$46:I$57))</f>
        <v>1</v>
      </c>
      <c r="J59" s="122">
        <f t="shared" si="15"/>
        <v>1</v>
      </c>
      <c r="K59" s="115">
        <f t="shared" si="15"/>
        <v>1</v>
      </c>
      <c r="L59" s="122">
        <f t="shared" si="15"/>
        <v>1</v>
      </c>
      <c r="M59" s="100"/>
      <c r="N59" s="100"/>
      <c r="O59" s="119">
        <f t="shared" si="15"/>
        <v>1</v>
      </c>
      <c r="P59" s="120">
        <f t="shared" si="15"/>
        <v>1</v>
      </c>
      <c r="Q59" s="117" t="str">
        <f t="shared" si="15"/>
        <v/>
      </c>
      <c r="R59" s="117" t="str">
        <f t="shared" si="15"/>
        <v/>
      </c>
      <c r="S59" s="117" t="str">
        <f t="shared" si="15"/>
        <v/>
      </c>
      <c r="T59" s="117" t="str">
        <f t="shared" si="15"/>
        <v/>
      </c>
      <c r="U59" s="117">
        <f t="shared" si="15"/>
        <v>1</v>
      </c>
      <c r="V59" s="118" t="str">
        <f t="shared" si="15"/>
        <v/>
      </c>
      <c r="W59" s="14"/>
      <c r="X59" s="14"/>
      <c r="Y59" s="14"/>
    </row>
    <row r="60" spans="2:25" ht="24.95" customHeight="1" thickBot="1" x14ac:dyDescent="0.3">
      <c r="C60" s="47"/>
      <c r="D60" s="47"/>
      <c r="E60" s="14"/>
      <c r="F60" s="14"/>
      <c r="G60" s="14"/>
      <c r="H60" s="14"/>
      <c r="I60" s="14"/>
      <c r="J60" s="14"/>
      <c r="K60" s="14"/>
      <c r="L60" s="14"/>
      <c r="M60" s="14"/>
      <c r="N60" s="14"/>
      <c r="O60" s="14"/>
      <c r="P60" s="14"/>
      <c r="Q60" s="14"/>
      <c r="R60" s="14"/>
      <c r="S60" s="14"/>
      <c r="T60" s="14"/>
      <c r="U60" s="14"/>
      <c r="V60" s="14"/>
      <c r="W60" s="14"/>
      <c r="X60" s="14"/>
      <c r="Y60" s="14"/>
    </row>
    <row r="61" spans="2:25" ht="24.95" customHeight="1" thickBot="1" x14ac:dyDescent="0.3">
      <c r="B61" s="47"/>
      <c r="C61" s="47"/>
      <c r="D61" s="47"/>
      <c r="E61" s="14"/>
      <c r="F61" s="14"/>
      <c r="G61" s="14"/>
      <c r="H61" s="343" t="s">
        <v>35</v>
      </c>
      <c r="I61" s="344"/>
      <c r="J61" s="344"/>
      <c r="K61" s="344"/>
      <c r="L61" s="344"/>
      <c r="M61" s="344"/>
      <c r="N61" s="345">
        <f>SUM(P58:V58)</f>
        <v>0</v>
      </c>
      <c r="O61" s="346"/>
      <c r="P61" s="344" t="s">
        <v>36</v>
      </c>
      <c r="Q61" s="344"/>
      <c r="R61" s="344"/>
      <c r="S61" s="344"/>
      <c r="T61" s="344"/>
      <c r="U61" s="344"/>
      <c r="V61" s="347">
        <f>SUM(P59:V59)</f>
        <v>2</v>
      </c>
      <c r="W61" s="346"/>
      <c r="X61" s="14"/>
      <c r="Y61" s="14"/>
    </row>
    <row r="62" spans="2:25" ht="24.95" customHeight="1" thickBot="1" x14ac:dyDescent="0.3">
      <c r="C62" s="47"/>
      <c r="D62" s="47"/>
      <c r="E62" s="14"/>
      <c r="F62" s="14"/>
      <c r="G62" s="14"/>
      <c r="H62" s="349" t="s">
        <v>37</v>
      </c>
      <c r="I62" s="350"/>
      <c r="J62" s="350"/>
      <c r="K62" s="350"/>
      <c r="L62" s="350"/>
      <c r="M62" s="350"/>
      <c r="N62" s="351">
        <f>'2965D'!E5</f>
        <v>0</v>
      </c>
      <c r="O62" s="352"/>
      <c r="P62" s="350" t="s">
        <v>38</v>
      </c>
      <c r="Q62" s="350"/>
      <c r="R62" s="350"/>
      <c r="S62" s="350"/>
      <c r="T62" s="350"/>
      <c r="U62" s="350"/>
      <c r="V62" s="353">
        <f>'2965D'!I5</f>
        <v>0</v>
      </c>
      <c r="W62" s="354"/>
      <c r="X62" s="14"/>
      <c r="Y62" s="14"/>
    </row>
    <row r="63" spans="2:25" ht="24.95" customHeight="1" thickBot="1" x14ac:dyDescent="0.3">
      <c r="B63" s="334" t="s">
        <v>118</v>
      </c>
      <c r="C63" s="334"/>
      <c r="D63" s="334"/>
      <c r="E63" s="14"/>
      <c r="F63" s="14"/>
      <c r="G63" s="14"/>
      <c r="H63" s="343" t="s">
        <v>120</v>
      </c>
      <c r="I63" s="344"/>
      <c r="J63" s="344"/>
      <c r="K63" s="344"/>
      <c r="L63" s="344"/>
      <c r="M63" s="344"/>
      <c r="N63" s="345">
        <f>N62+N61</f>
        <v>0</v>
      </c>
      <c r="O63" s="346"/>
      <c r="P63" s="344" t="s">
        <v>121</v>
      </c>
      <c r="Q63" s="344"/>
      <c r="R63" s="344"/>
      <c r="S63" s="344"/>
      <c r="T63" s="344"/>
      <c r="U63" s="344"/>
      <c r="V63" s="347">
        <f>V62+V61</f>
        <v>2</v>
      </c>
      <c r="W63" s="346"/>
      <c r="X63" s="14"/>
      <c r="Y63" s="14"/>
    </row>
    <row r="64" spans="2:25" ht="24.95" customHeight="1" x14ac:dyDescent="0.25">
      <c r="B64" s="334"/>
      <c r="C64" s="334"/>
      <c r="D64" s="334"/>
      <c r="E64" s="14"/>
      <c r="F64" s="14"/>
      <c r="G64" s="14"/>
      <c r="H64" s="48"/>
      <c r="I64" s="48"/>
      <c r="J64" s="48"/>
      <c r="K64" s="48"/>
      <c r="L64" s="48"/>
      <c r="M64" s="48"/>
      <c r="N64" s="49"/>
      <c r="O64" s="49"/>
      <c r="P64" s="48"/>
      <c r="Q64" s="48"/>
      <c r="R64" s="48"/>
      <c r="S64" s="48"/>
      <c r="T64" s="48"/>
      <c r="U64" s="48"/>
      <c r="V64" s="49"/>
      <c r="W64" s="49"/>
      <c r="X64" s="14"/>
      <c r="Y64" s="14"/>
    </row>
    <row r="65" spans="2:25" ht="24.95" customHeight="1" x14ac:dyDescent="0.25">
      <c r="B65" s="334"/>
      <c r="C65" s="334"/>
      <c r="D65" s="334"/>
      <c r="E65" s="14"/>
      <c r="F65" s="14"/>
      <c r="G65" s="14"/>
      <c r="H65" s="48"/>
      <c r="I65" s="48"/>
      <c r="J65" s="48"/>
      <c r="K65" s="48"/>
      <c r="L65" s="48"/>
      <c r="M65" s="48"/>
      <c r="N65" s="49"/>
      <c r="O65" s="49"/>
      <c r="P65" s="48"/>
      <c r="Q65" s="48"/>
      <c r="R65" s="48"/>
      <c r="S65" s="48"/>
      <c r="T65" s="48"/>
      <c r="U65" s="48"/>
      <c r="V65" s="49"/>
      <c r="W65" s="49"/>
      <c r="X65" s="14"/>
      <c r="Y65" s="14"/>
    </row>
    <row r="66" spans="2:25" ht="24.95" customHeight="1" x14ac:dyDescent="0.25">
      <c r="B66" s="334"/>
      <c r="C66" s="334"/>
      <c r="D66" s="334"/>
      <c r="E66" s="14"/>
      <c r="F66" s="14"/>
      <c r="G66" s="14"/>
      <c r="H66" s="355" t="s">
        <v>122</v>
      </c>
      <c r="I66" s="355"/>
      <c r="J66" s="355"/>
      <c r="K66" s="355"/>
      <c r="L66" s="355"/>
      <c r="M66" s="355"/>
      <c r="N66" s="355"/>
      <c r="O66" s="355"/>
      <c r="P66" s="355"/>
      <c r="Q66" s="355"/>
      <c r="R66" s="355"/>
      <c r="S66" s="355"/>
      <c r="T66" s="355"/>
      <c r="U66" s="355"/>
      <c r="V66" s="355"/>
      <c r="W66" s="355"/>
      <c r="X66" s="14"/>
      <c r="Y66" s="14"/>
    </row>
    <row r="67" spans="2:25" ht="24.95" customHeight="1" x14ac:dyDescent="0.25">
      <c r="B67" s="334"/>
      <c r="C67" s="334"/>
      <c r="D67" s="334"/>
      <c r="E67" s="14"/>
      <c r="F67" s="14"/>
      <c r="G67" s="14"/>
      <c r="H67" s="14"/>
      <c r="I67" s="14"/>
      <c r="J67" s="14"/>
      <c r="K67" s="14"/>
      <c r="L67" s="14"/>
      <c r="M67" s="14"/>
      <c r="N67" s="14"/>
      <c r="O67" s="14"/>
      <c r="P67" s="14"/>
      <c r="Q67" s="14"/>
      <c r="R67" s="14"/>
      <c r="S67" s="14"/>
      <c r="T67" s="14"/>
      <c r="U67" s="14"/>
      <c r="V67" s="14"/>
      <c r="W67" s="14"/>
      <c r="X67" s="14"/>
      <c r="Y67" s="14"/>
    </row>
    <row r="68" spans="2:25" ht="13.5" customHeight="1" x14ac:dyDescent="0.25">
      <c r="B68" s="17"/>
      <c r="C68" s="17"/>
      <c r="D68" s="17"/>
    </row>
    <row r="69" spans="2:25" ht="15" customHeight="1" x14ac:dyDescent="0.25"/>
    <row r="70" spans="2:25" ht="13.5" customHeight="1" x14ac:dyDescent="0.25"/>
  </sheetData>
  <sheetProtection selectLockedCells="1" selectUnlockedCells="1"/>
  <mergeCells count="59">
    <mergeCell ref="R4:V4"/>
    <mergeCell ref="D5:E5"/>
    <mergeCell ref="H5:K5"/>
    <mergeCell ref="O5:P5"/>
    <mergeCell ref="E4:H4"/>
    <mergeCell ref="J4:P4"/>
    <mergeCell ref="H62:M62"/>
    <mergeCell ref="N62:O62"/>
    <mergeCell ref="P62:U62"/>
    <mergeCell ref="V62:W62"/>
    <mergeCell ref="B63:D67"/>
    <mergeCell ref="H63:M63"/>
    <mergeCell ref="N63:O63"/>
    <mergeCell ref="P63:U63"/>
    <mergeCell ref="V63:W63"/>
    <mergeCell ref="H66:W66"/>
    <mergeCell ref="H61:M61"/>
    <mergeCell ref="N61:O61"/>
    <mergeCell ref="P61:U61"/>
    <mergeCell ref="V61:W61"/>
    <mergeCell ref="K41:L41"/>
    <mergeCell ref="M41:N42"/>
    <mergeCell ref="O41:O43"/>
    <mergeCell ref="P41:V42"/>
    <mergeCell ref="W41:W43"/>
    <mergeCell ref="Q39:S39"/>
    <mergeCell ref="Y41:Y43"/>
    <mergeCell ref="B44:F45"/>
    <mergeCell ref="F58:G58"/>
    <mergeCell ref="F59:G59"/>
    <mergeCell ref="X41:X43"/>
    <mergeCell ref="G41:G43"/>
    <mergeCell ref="H41:J41"/>
    <mergeCell ref="D39:E39"/>
    <mergeCell ref="H39:K39"/>
    <mergeCell ref="O39:P39"/>
    <mergeCell ref="B30:D36"/>
    <mergeCell ref="F30:F31"/>
    <mergeCell ref="B41:B43"/>
    <mergeCell ref="C41:C43"/>
    <mergeCell ref="D41:D43"/>
    <mergeCell ref="E41:E43"/>
    <mergeCell ref="F41:F43"/>
    <mergeCell ref="Y7:Y9"/>
    <mergeCell ref="W2:Y4"/>
    <mergeCell ref="B7:B9"/>
    <mergeCell ref="C7:C9"/>
    <mergeCell ref="D7:D9"/>
    <mergeCell ref="E7:E9"/>
    <mergeCell ref="F7:F9"/>
    <mergeCell ref="G7:G9"/>
    <mergeCell ref="H7:J7"/>
    <mergeCell ref="K7:L7"/>
    <mergeCell ref="Q5:S5"/>
    <mergeCell ref="M7:N8"/>
    <mergeCell ref="O7:O9"/>
    <mergeCell ref="P7:V8"/>
    <mergeCell ref="W7:W9"/>
    <mergeCell ref="X7:X9"/>
  </mergeCells>
  <conditionalFormatting sqref="C10:Y29">
    <cfRule type="cellIs" dxfId="1" priority="1" operator="equal">
      <formula>0</formula>
    </cfRule>
  </conditionalFormatting>
  <conditionalFormatting sqref="C46:Y57">
    <cfRule type="cellIs" dxfId="0" priority="3" operator="equal">
      <formula>0</formula>
    </cfRule>
  </conditionalFormatting>
  <printOptions horizontalCentered="1"/>
  <pageMargins left="0" right="0" top="0" bottom="0" header="0" footer="0"/>
  <pageSetup paperSize="9" scale="8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B15" sqref="B15"/>
    </sheetView>
  </sheetViews>
  <sheetFormatPr defaultRowHeight="15" x14ac:dyDescent="0.25"/>
  <cols>
    <col min="1" max="1" width="3" bestFit="1" customWidth="1"/>
    <col min="2" max="2" width="120" style="7" customWidth="1"/>
  </cols>
  <sheetData>
    <row r="1" spans="1:2" ht="18.75" x14ac:dyDescent="0.3">
      <c r="A1" s="357" t="s">
        <v>135</v>
      </c>
      <c r="B1" s="357"/>
    </row>
    <row r="2" spans="1:2" s="12" customFormat="1" ht="30" x14ac:dyDescent="0.25">
      <c r="A2" s="13">
        <v>1</v>
      </c>
      <c r="B2" s="22" t="s">
        <v>102</v>
      </c>
    </row>
    <row r="3" spans="1:2" x14ac:dyDescent="0.25">
      <c r="A3" s="13">
        <v>2</v>
      </c>
      <c r="B3" s="23" t="s">
        <v>0</v>
      </c>
    </row>
    <row r="4" spans="1:2" x14ac:dyDescent="0.25">
      <c r="A4" s="13">
        <v>3</v>
      </c>
      <c r="B4" s="23" t="s">
        <v>103</v>
      </c>
    </row>
    <row r="5" spans="1:2" ht="30" x14ac:dyDescent="0.25">
      <c r="A5" s="13">
        <v>4</v>
      </c>
      <c r="B5" s="23" t="s">
        <v>1</v>
      </c>
    </row>
    <row r="6" spans="1:2" x14ac:dyDescent="0.25">
      <c r="A6" s="13">
        <v>5</v>
      </c>
      <c r="B6" s="26" t="s">
        <v>104</v>
      </c>
    </row>
    <row r="7" spans="1:2" x14ac:dyDescent="0.25">
      <c r="A7" s="13"/>
    </row>
    <row r="8" spans="1:2" x14ac:dyDescent="0.25">
      <c r="A8" s="13"/>
      <c r="B8" s="24"/>
    </row>
    <row r="9" spans="1:2" x14ac:dyDescent="0.25">
      <c r="A9" s="13"/>
    </row>
    <row r="10" spans="1:2" s="12" customFormat="1" x14ac:dyDescent="0.25">
      <c r="A10" s="13"/>
      <c r="B10" s="7" t="s">
        <v>105</v>
      </c>
    </row>
    <row r="11" spans="1:2" x14ac:dyDescent="0.25">
      <c r="A11" s="13"/>
      <c r="B11" s="23"/>
    </row>
    <row r="12" spans="1:2" x14ac:dyDescent="0.25">
      <c r="A12" s="13"/>
    </row>
    <row r="13" spans="1:2" x14ac:dyDescent="0.25">
      <c r="A13" s="12"/>
      <c r="B13" s="25"/>
    </row>
  </sheetData>
  <mergeCells count="1">
    <mergeCell ref="A1:B1"/>
  </mergeCells>
  <hyperlinks>
    <hyperlink ref="B5" r:id="rId1" display="At the end of the day, ensure this file is saved to &quot;661 VGS Sharepoint &gt; 661 VGS Documents &gt; Log Sheets&quot; or emailed to the stats/GUR individual:                          " xr:uid="{00000000-0004-0000-0200-000000000000}"/>
    <hyperlink ref="B3" location="'2965D'!F1" display="Enter aircraft number and date along the top" xr:uid="{00000000-0004-0000-0200-000001000000}"/>
    <hyperlink ref="B4" location="'2965D'!I56"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9"/>
  <sheetViews>
    <sheetView workbookViewId="0">
      <selection activeCell="A9" sqref="A9"/>
    </sheetView>
  </sheetViews>
  <sheetFormatPr defaultColWidth="9.140625" defaultRowHeight="15" x14ac:dyDescent="0.25"/>
  <cols>
    <col min="1" max="1" width="8.28515625" style="21" bestFit="1" customWidth="1"/>
    <col min="2" max="2" width="11.42578125" style="15" bestFit="1" customWidth="1"/>
    <col min="3" max="3" width="8.7109375" style="15" bestFit="1" customWidth="1"/>
    <col min="4" max="4" width="148.28515625" style="15" customWidth="1"/>
    <col min="5" max="16384" width="9.140625" style="15"/>
  </cols>
  <sheetData>
    <row r="1" spans="1:4" s="19" customFormat="1" ht="15.75" x14ac:dyDescent="0.25">
      <c r="A1" s="20" t="s">
        <v>39</v>
      </c>
      <c r="B1" s="18" t="s">
        <v>5</v>
      </c>
      <c r="C1" s="18" t="s">
        <v>40</v>
      </c>
      <c r="D1" s="18" t="s">
        <v>41</v>
      </c>
    </row>
    <row r="2" spans="1:4" ht="60" x14ac:dyDescent="0.25">
      <c r="A2" s="21" t="s">
        <v>42</v>
      </c>
      <c r="B2" s="16">
        <v>45027</v>
      </c>
      <c r="C2" s="15" t="s">
        <v>43</v>
      </c>
      <c r="D2" s="17" t="s">
        <v>44</v>
      </c>
    </row>
    <row r="3" spans="1:4" x14ac:dyDescent="0.25">
      <c r="A3" s="21" t="s">
        <v>45</v>
      </c>
      <c r="B3" s="16">
        <v>45030</v>
      </c>
      <c r="C3" s="15" t="s">
        <v>43</v>
      </c>
      <c r="D3" s="15" t="s">
        <v>46</v>
      </c>
    </row>
    <row r="4" spans="1:4" x14ac:dyDescent="0.25">
      <c r="A4" s="21" t="s">
        <v>47</v>
      </c>
      <c r="B4" s="16">
        <v>45074</v>
      </c>
      <c r="C4" s="15" t="s">
        <v>43</v>
      </c>
      <c r="D4" s="15" t="s">
        <v>48</v>
      </c>
    </row>
    <row r="5" spans="1:4" ht="90" x14ac:dyDescent="0.25">
      <c r="A5" s="21" t="s">
        <v>49</v>
      </c>
      <c r="B5" s="16">
        <v>45088</v>
      </c>
      <c r="C5" s="15" t="s">
        <v>50</v>
      </c>
      <c r="D5" s="17" t="s">
        <v>51</v>
      </c>
    </row>
    <row r="6" spans="1:4" x14ac:dyDescent="0.25">
      <c r="A6" s="21" t="s">
        <v>52</v>
      </c>
      <c r="B6" s="16">
        <v>45101</v>
      </c>
      <c r="C6" s="15" t="s">
        <v>50</v>
      </c>
      <c r="D6" s="15" t="s">
        <v>53</v>
      </c>
    </row>
    <row r="7" spans="1:4" ht="60" x14ac:dyDescent="0.25">
      <c r="A7" s="21" t="s">
        <v>99</v>
      </c>
      <c r="B7" s="16">
        <v>45136</v>
      </c>
      <c r="C7" s="15" t="s">
        <v>43</v>
      </c>
      <c r="D7" s="17" t="s">
        <v>106</v>
      </c>
    </row>
    <row r="8" spans="1:4" ht="45" x14ac:dyDescent="0.25">
      <c r="A8" s="21" t="s">
        <v>131</v>
      </c>
      <c r="B8" s="16">
        <v>45478</v>
      </c>
      <c r="C8" s="15" t="s">
        <v>132</v>
      </c>
      <c r="D8" s="17" t="s">
        <v>133</v>
      </c>
    </row>
    <row r="9" spans="1:4" ht="30" x14ac:dyDescent="0.25">
      <c r="A9" s="21" t="s">
        <v>143</v>
      </c>
      <c r="B9" s="16">
        <v>45513</v>
      </c>
      <c r="C9" s="15" t="s">
        <v>132</v>
      </c>
      <c r="D9" s="17" t="s">
        <v>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workbookViewId="0">
      <selection activeCell="D20" sqref="D20"/>
    </sheetView>
  </sheetViews>
  <sheetFormatPr defaultRowHeight="15" x14ac:dyDescent="0.25"/>
  <cols>
    <col min="1" max="1" width="11.42578125" bestFit="1" customWidth="1"/>
    <col min="2" max="2" width="12.140625" bestFit="1" customWidth="1"/>
    <col min="3" max="3" width="5.140625" bestFit="1" customWidth="1"/>
    <col min="4" max="4" width="16.42578125" bestFit="1" customWidth="1"/>
    <col min="5" max="5" width="13.5703125" bestFit="1" customWidth="1"/>
  </cols>
  <sheetData>
    <row r="1" spans="1:3" x14ac:dyDescent="0.25">
      <c r="A1" t="s">
        <v>54</v>
      </c>
      <c r="B1" t="s">
        <v>55</v>
      </c>
    </row>
    <row r="2" spans="1:3" x14ac:dyDescent="0.25">
      <c r="A2" t="s">
        <v>56</v>
      </c>
      <c r="B2" t="s">
        <v>57</v>
      </c>
    </row>
    <row r="3" spans="1:3" x14ac:dyDescent="0.25">
      <c r="A3" t="s">
        <v>58</v>
      </c>
      <c r="B3" t="s">
        <v>59</v>
      </c>
    </row>
    <row r="4" spans="1:3" x14ac:dyDescent="0.25">
      <c r="A4" t="s">
        <v>60</v>
      </c>
      <c r="B4" t="s">
        <v>61</v>
      </c>
    </row>
    <row r="5" spans="1:3" x14ac:dyDescent="0.25">
      <c r="A5" t="s">
        <v>62</v>
      </c>
      <c r="B5" t="s">
        <v>63</v>
      </c>
    </row>
    <row r="6" spans="1:3" x14ac:dyDescent="0.25">
      <c r="A6" t="s">
        <v>64</v>
      </c>
      <c r="B6" t="s">
        <v>65</v>
      </c>
    </row>
    <row r="8" spans="1:3" x14ac:dyDescent="0.25">
      <c r="A8" s="12" t="s">
        <v>66</v>
      </c>
      <c r="C8" s="12" t="s">
        <v>22</v>
      </c>
    </row>
    <row r="9" spans="1:3" x14ac:dyDescent="0.25">
      <c r="A9" t="s">
        <v>67</v>
      </c>
      <c r="C9" t="s">
        <v>15</v>
      </c>
    </row>
    <row r="10" spans="1:3" x14ac:dyDescent="0.25">
      <c r="A10" t="s">
        <v>68</v>
      </c>
      <c r="C10" t="s">
        <v>100</v>
      </c>
    </row>
    <row r="11" spans="1:3" x14ac:dyDescent="0.25">
      <c r="A11" t="s">
        <v>71</v>
      </c>
      <c r="C11" t="s">
        <v>101</v>
      </c>
    </row>
    <row r="12" spans="1:3" x14ac:dyDescent="0.25">
      <c r="A12" t="s">
        <v>73</v>
      </c>
      <c r="C12" t="s">
        <v>69</v>
      </c>
    </row>
    <row r="13" spans="1:3" x14ac:dyDescent="0.25">
      <c r="A13" t="s">
        <v>134</v>
      </c>
      <c r="C13" t="s">
        <v>70</v>
      </c>
    </row>
    <row r="14" spans="1:3" x14ac:dyDescent="0.25">
      <c r="A14" t="s">
        <v>74</v>
      </c>
      <c r="C14" t="s">
        <v>72</v>
      </c>
    </row>
    <row r="15" spans="1:3" x14ac:dyDescent="0.25">
      <c r="A15" t="s">
        <v>75</v>
      </c>
    </row>
    <row r="16" spans="1:3" x14ac:dyDescent="0.25">
      <c r="A16" t="s">
        <v>76</v>
      </c>
    </row>
    <row r="17" spans="1:1" x14ac:dyDescent="0.25">
      <c r="A17" t="s">
        <v>77</v>
      </c>
    </row>
    <row r="18" spans="1:1" x14ac:dyDescent="0.25">
      <c r="A18" t="s">
        <v>78</v>
      </c>
    </row>
    <row r="19" spans="1:1" x14ac:dyDescent="0.25">
      <c r="A19" t="s">
        <v>79</v>
      </c>
    </row>
    <row r="20" spans="1:1" x14ac:dyDescent="0.25">
      <c r="A20" t="s">
        <v>80</v>
      </c>
    </row>
    <row r="21" spans="1:1" x14ac:dyDescent="0.25">
      <c r="A21" t="s">
        <v>81</v>
      </c>
    </row>
    <row r="22" spans="1:1" x14ac:dyDescent="0.25">
      <c r="A22" t="s">
        <v>82</v>
      </c>
    </row>
    <row r="23" spans="1:1" x14ac:dyDescent="0.25">
      <c r="A23" t="s">
        <v>83</v>
      </c>
    </row>
    <row r="24" spans="1:1" x14ac:dyDescent="0.25">
      <c r="A24" t="s">
        <v>84</v>
      </c>
    </row>
    <row r="25" spans="1:1" x14ac:dyDescent="0.25">
      <c r="A25" t="s">
        <v>85</v>
      </c>
    </row>
    <row r="26" spans="1:1" x14ac:dyDescent="0.25">
      <c r="A26" t="s">
        <v>86</v>
      </c>
    </row>
    <row r="27" spans="1:1" x14ac:dyDescent="0.25">
      <c r="A27" t="s">
        <v>87</v>
      </c>
    </row>
    <row r="28" spans="1:1" x14ac:dyDescent="0.25">
      <c r="A28" t="s">
        <v>88</v>
      </c>
    </row>
    <row r="29" spans="1:1" x14ac:dyDescent="0.25">
      <c r="A29" t="s">
        <v>89</v>
      </c>
    </row>
    <row r="30" spans="1:1" x14ac:dyDescent="0.25">
      <c r="A30" t="s">
        <v>90</v>
      </c>
    </row>
    <row r="31" spans="1:1" x14ac:dyDescent="0.25">
      <c r="A31" t="s">
        <v>91</v>
      </c>
    </row>
    <row r="32" spans="1:1" x14ac:dyDescent="0.25">
      <c r="A32" t="s">
        <v>92</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5" x14ac:dyDescent="0.25"/>
  <cols>
    <col min="1" max="1" width="21" style="4" customWidth="1"/>
    <col min="2" max="2" width="16.85546875" style="4" customWidth="1"/>
    <col min="3" max="3" width="9.140625" style="4"/>
    <col min="4" max="4" width="15.7109375" style="2" bestFit="1" customWidth="1"/>
    <col min="5" max="5" width="15" style="2" customWidth="1"/>
    <col min="6" max="6" width="13.140625" style="3" bestFit="1" customWidth="1"/>
    <col min="7" max="7" width="9.140625" style="3"/>
    <col min="8" max="9" width="9.140625" style="4"/>
    <col min="10" max="10" width="10.7109375" style="9" bestFit="1" customWidth="1"/>
  </cols>
  <sheetData>
    <row r="1" spans="1:12" s="7" customFormat="1" x14ac:dyDescent="0.25">
      <c r="A1" s="11" t="s">
        <v>93</v>
      </c>
      <c r="B1" s="11" t="s">
        <v>94</v>
      </c>
      <c r="C1" s="11" t="s">
        <v>22</v>
      </c>
      <c r="D1" s="8" t="s">
        <v>95</v>
      </c>
      <c r="E1" s="5" t="s">
        <v>96</v>
      </c>
      <c r="F1" s="6" t="s">
        <v>97</v>
      </c>
      <c r="G1" s="6" t="s">
        <v>11</v>
      </c>
      <c r="H1" s="11" t="s">
        <v>13</v>
      </c>
      <c r="I1" s="11" t="s">
        <v>98</v>
      </c>
      <c r="J1" s="10" t="s">
        <v>5</v>
      </c>
      <c r="K1" s="22" t="s">
        <v>30</v>
      </c>
      <c r="L1" s="22" t="s">
        <v>31</v>
      </c>
    </row>
    <row r="2" spans="1:12" x14ac:dyDescent="0.25">
      <c r="A2" s="4">
        <f>'2965D'!B10</f>
        <v>0</v>
      </c>
      <c r="B2" s="4">
        <f>'2965D'!C10</f>
        <v>0</v>
      </c>
      <c r="C2" s="4">
        <f>'2965D'!D10</f>
        <v>0</v>
      </c>
      <c r="D2" s="2">
        <f>'2965D'!E10+Formatted[[#This Row],[Date]]</f>
        <v>0</v>
      </c>
      <c r="E2" s="2">
        <f>'2965D'!F10+Formatted[[#This Row],[Date]]</f>
        <v>0</v>
      </c>
      <c r="F2" s="3">
        <f>ROUND((Formatted[[#This Row],[LandingTime]]-Formatted[[#This Row],[TakeOffTime]]) * 1440, 0)</f>
        <v>0</v>
      </c>
      <c r="G2" s="3" t="str">
        <f>'2965D'!O10</f>
        <v/>
      </c>
      <c r="H2" s="4" t="b">
        <v>0</v>
      </c>
      <c r="I2" s="4">
        <f>'2965D'!$F$2</f>
        <v>0</v>
      </c>
      <c r="J2" s="9">
        <f>'2965D'!$O$2</f>
        <v>0</v>
      </c>
      <c r="K2" t="b">
        <v>0</v>
      </c>
      <c r="L2" t="b">
        <v>0</v>
      </c>
    </row>
    <row r="3" spans="1:12" x14ac:dyDescent="0.25">
      <c r="A3" s="4">
        <f>'2965D'!B11</f>
        <v>0</v>
      </c>
      <c r="B3" s="4">
        <f>'2965D'!C11</f>
        <v>0</v>
      </c>
      <c r="C3" s="4">
        <f>'2965D'!D11</f>
        <v>0</v>
      </c>
      <c r="D3" s="2">
        <f>'2965D'!E11+Formatted[[#This Row],[Date]]</f>
        <v>0</v>
      </c>
      <c r="E3" s="2">
        <f>'2965D'!F11+Formatted[[#This Row],[Date]]</f>
        <v>0</v>
      </c>
      <c r="F3" s="3">
        <f>ROUND((Formatted[[#This Row],[LandingTime]]-Formatted[[#This Row],[TakeOffTime]]) * 1440, 0)</f>
        <v>0</v>
      </c>
      <c r="G3" s="3" t="str">
        <f>'2965D'!O11</f>
        <v/>
      </c>
      <c r="H3" s="4" t="b">
        <v>0</v>
      </c>
      <c r="I3" s="4">
        <f>'2965D'!$F$2</f>
        <v>0</v>
      </c>
      <c r="J3" s="9">
        <f>'2965D'!$O$2</f>
        <v>0</v>
      </c>
      <c r="K3" t="b">
        <v>0</v>
      </c>
      <c r="L3" t="b">
        <v>0</v>
      </c>
    </row>
    <row r="4" spans="1:12" x14ac:dyDescent="0.25">
      <c r="A4" s="4">
        <f>'2965D'!B12</f>
        <v>0</v>
      </c>
      <c r="B4" s="4">
        <f>'2965D'!C12</f>
        <v>0</v>
      </c>
      <c r="C4" s="4">
        <f>'2965D'!D12</f>
        <v>0</v>
      </c>
      <c r="D4" s="2">
        <f>'2965D'!E12+Formatted[[#This Row],[Date]]</f>
        <v>0</v>
      </c>
      <c r="E4" s="2">
        <f>'2965D'!F12+Formatted[[#This Row],[Date]]</f>
        <v>0</v>
      </c>
      <c r="F4" s="3">
        <f>ROUND((Formatted[[#This Row],[LandingTime]]-Formatted[[#This Row],[TakeOffTime]]) * 1440, 0)</f>
        <v>0</v>
      </c>
      <c r="G4" s="3" t="str">
        <f>'2965D'!O12</f>
        <v/>
      </c>
      <c r="H4" s="4" t="b">
        <v>0</v>
      </c>
      <c r="I4" s="4">
        <f>'2965D'!$F$2</f>
        <v>0</v>
      </c>
      <c r="J4" s="9">
        <f>'2965D'!$O$2</f>
        <v>0</v>
      </c>
      <c r="K4" t="b">
        <v>0</v>
      </c>
      <c r="L4" t="b">
        <v>0</v>
      </c>
    </row>
    <row r="5" spans="1:12" x14ac:dyDescent="0.25">
      <c r="A5" s="4">
        <f>'2965D'!B13</f>
        <v>0</v>
      </c>
      <c r="B5" s="4">
        <f>'2965D'!C13</f>
        <v>0</v>
      </c>
      <c r="C5" s="4">
        <f>'2965D'!D13</f>
        <v>0</v>
      </c>
      <c r="D5" s="2">
        <f>'2965D'!E13+Formatted[[#This Row],[Date]]</f>
        <v>0</v>
      </c>
      <c r="E5" s="2">
        <f>'2965D'!F13+Formatted[[#This Row],[Date]]</f>
        <v>0</v>
      </c>
      <c r="F5" s="3">
        <f>ROUND((Formatted[[#This Row],[LandingTime]]-Formatted[[#This Row],[TakeOffTime]]) * 1440, 0)</f>
        <v>0</v>
      </c>
      <c r="G5" s="3">
        <f>'2965D'!O13</f>
        <v>0</v>
      </c>
      <c r="H5" s="4" t="b">
        <v>0</v>
      </c>
      <c r="I5" s="4">
        <f>'2965D'!$F$2</f>
        <v>0</v>
      </c>
      <c r="J5" s="9">
        <f>'2965D'!$O$2</f>
        <v>0</v>
      </c>
      <c r="K5" t="b">
        <v>0</v>
      </c>
      <c r="L5" t="b">
        <v>0</v>
      </c>
    </row>
    <row r="6" spans="1:12" x14ac:dyDescent="0.25">
      <c r="A6" s="4">
        <f>'2965D'!B14</f>
        <v>0</v>
      </c>
      <c r="B6" s="4">
        <f>'2965D'!C14</f>
        <v>0</v>
      </c>
      <c r="C6" s="4">
        <f>'2965D'!D14</f>
        <v>0</v>
      </c>
      <c r="D6" s="2">
        <f>'2965D'!E14+Formatted[[#This Row],[Date]]</f>
        <v>0</v>
      </c>
      <c r="E6" s="2">
        <f>'2965D'!F14+Formatted[[#This Row],[Date]]</f>
        <v>0</v>
      </c>
      <c r="F6" s="3">
        <f>ROUND((Formatted[[#This Row],[LandingTime]]-Formatted[[#This Row],[TakeOffTime]]) * 1440, 0)</f>
        <v>0</v>
      </c>
      <c r="G6" s="3" t="str">
        <f>'2965D'!O14</f>
        <v/>
      </c>
      <c r="H6" s="4" t="b">
        <v>0</v>
      </c>
      <c r="I6" s="4">
        <f>'2965D'!$F$2</f>
        <v>0</v>
      </c>
      <c r="J6" s="9">
        <f>'2965D'!$O$2</f>
        <v>0</v>
      </c>
      <c r="K6" t="b">
        <v>0</v>
      </c>
      <c r="L6" t="b">
        <v>0</v>
      </c>
    </row>
    <row r="7" spans="1:12" x14ac:dyDescent="0.25">
      <c r="A7" s="4">
        <f>'2965D'!B15</f>
        <v>0</v>
      </c>
      <c r="B7" s="4">
        <f>'2965D'!C15</f>
        <v>0</v>
      </c>
      <c r="C7" s="4">
        <f>'2965D'!D15</f>
        <v>0</v>
      </c>
      <c r="D7" s="2">
        <f>'2965D'!E15+Formatted[[#This Row],[Date]]</f>
        <v>0</v>
      </c>
      <c r="E7" s="2">
        <f>'2965D'!F15+Formatted[[#This Row],[Date]]</f>
        <v>0</v>
      </c>
      <c r="F7" s="3">
        <f>ROUND((Formatted[[#This Row],[LandingTime]]-Formatted[[#This Row],[TakeOffTime]]) * 1440, 0)</f>
        <v>0</v>
      </c>
      <c r="G7" s="3" t="str">
        <f>'2965D'!O15</f>
        <v/>
      </c>
      <c r="H7" s="4" t="b">
        <v>0</v>
      </c>
      <c r="I7" s="4">
        <f>'2965D'!$F$2</f>
        <v>0</v>
      </c>
      <c r="J7" s="9">
        <f>'2965D'!$O$2</f>
        <v>0</v>
      </c>
      <c r="K7" t="b">
        <v>0</v>
      </c>
      <c r="L7" t="b">
        <v>0</v>
      </c>
    </row>
    <row r="8" spans="1:12" x14ac:dyDescent="0.25">
      <c r="A8" s="4">
        <f>'2965D'!B16</f>
        <v>0</v>
      </c>
      <c r="B8" s="4">
        <f>'2965D'!C16</f>
        <v>0</v>
      </c>
      <c r="C8" s="4">
        <f>'2965D'!D16</f>
        <v>0</v>
      </c>
      <c r="D8" s="2">
        <f>'2965D'!E16+Formatted[[#This Row],[Date]]</f>
        <v>0</v>
      </c>
      <c r="E8" s="2">
        <f>'2965D'!F16+Formatted[[#This Row],[Date]]</f>
        <v>0</v>
      </c>
      <c r="F8" s="3">
        <f>ROUND((Formatted[[#This Row],[LandingTime]]-Formatted[[#This Row],[TakeOffTime]]) * 1440, 0)</f>
        <v>0</v>
      </c>
      <c r="G8" s="3" t="str">
        <f>'2965D'!O16</f>
        <v/>
      </c>
      <c r="H8" s="4" t="b">
        <v>0</v>
      </c>
      <c r="I8" s="4">
        <f>'2965D'!$F$2</f>
        <v>0</v>
      </c>
      <c r="J8" s="9">
        <f>'2965D'!$O$2</f>
        <v>0</v>
      </c>
      <c r="K8" t="b">
        <v>0</v>
      </c>
      <c r="L8" t="b">
        <v>0</v>
      </c>
    </row>
    <row r="9" spans="1:12" x14ac:dyDescent="0.25">
      <c r="A9" s="4">
        <f>'2965D'!B17</f>
        <v>0</v>
      </c>
      <c r="B9" s="4">
        <f>'2965D'!C17</f>
        <v>0</v>
      </c>
      <c r="C9" s="4">
        <f>'2965D'!D17</f>
        <v>0</v>
      </c>
      <c r="D9" s="2">
        <f>'2965D'!E17+Formatted[[#This Row],[Date]]</f>
        <v>0</v>
      </c>
      <c r="E9" s="2">
        <f>'2965D'!F17+Formatted[[#This Row],[Date]]</f>
        <v>0</v>
      </c>
      <c r="F9" s="3">
        <f>ROUND((Formatted[[#This Row],[LandingTime]]-Formatted[[#This Row],[TakeOffTime]]) * 1440, 0)</f>
        <v>0</v>
      </c>
      <c r="G9" s="3" t="str">
        <f>'2965D'!O17</f>
        <v/>
      </c>
      <c r="H9" s="4" t="b">
        <v>0</v>
      </c>
      <c r="I9" s="4">
        <f>'2965D'!$F$2</f>
        <v>0</v>
      </c>
      <c r="J9" s="9">
        <f>'2965D'!$O$2</f>
        <v>0</v>
      </c>
      <c r="K9" t="b">
        <v>0</v>
      </c>
      <c r="L9" t="b">
        <v>0</v>
      </c>
    </row>
    <row r="10" spans="1:12" x14ac:dyDescent="0.25">
      <c r="A10" s="4">
        <f>'2965D'!B18</f>
        <v>0</v>
      </c>
      <c r="B10" s="4">
        <f>'2965D'!C18</f>
        <v>0</v>
      </c>
      <c r="C10" s="4">
        <f>'2965D'!D18</f>
        <v>0</v>
      </c>
      <c r="D10" s="2">
        <f>'2965D'!E18+Formatted[[#This Row],[Date]]</f>
        <v>0</v>
      </c>
      <c r="E10" s="2">
        <f>'2965D'!F18+Formatted[[#This Row],[Date]]</f>
        <v>0</v>
      </c>
      <c r="F10" s="3">
        <f>ROUND((Formatted[[#This Row],[LandingTime]]-Formatted[[#This Row],[TakeOffTime]]) * 1440, 0)</f>
        <v>0</v>
      </c>
      <c r="G10" s="3" t="str">
        <f>'2965D'!O18</f>
        <v/>
      </c>
      <c r="H10" s="4" t="b">
        <v>0</v>
      </c>
      <c r="I10" s="4">
        <f>'2965D'!$F$2</f>
        <v>0</v>
      </c>
      <c r="J10" s="9">
        <f>'2965D'!$O$2</f>
        <v>0</v>
      </c>
      <c r="K10" t="b">
        <v>0</v>
      </c>
      <c r="L10" t="b">
        <v>0</v>
      </c>
    </row>
    <row r="11" spans="1:12" x14ac:dyDescent="0.25">
      <c r="A11" s="4">
        <f>'2965D'!B19</f>
        <v>0</v>
      </c>
      <c r="B11" s="4">
        <f>'2965D'!C19</f>
        <v>0</v>
      </c>
      <c r="C11" s="4">
        <f>'2965D'!D19</f>
        <v>0</v>
      </c>
      <c r="D11" s="2">
        <f>'2965D'!E19+Formatted[[#This Row],[Date]]</f>
        <v>0</v>
      </c>
      <c r="E11" s="2">
        <f>'2965D'!F19+Formatted[[#This Row],[Date]]</f>
        <v>0</v>
      </c>
      <c r="F11" s="3">
        <f>ROUND((Formatted[[#This Row],[LandingTime]]-Formatted[[#This Row],[TakeOffTime]]) * 1440, 0)</f>
        <v>0</v>
      </c>
      <c r="G11" s="3" t="str">
        <f>'2965D'!O19</f>
        <v/>
      </c>
      <c r="H11" s="4" t="b">
        <v>0</v>
      </c>
      <c r="I11" s="4">
        <f>'2965D'!$F$2</f>
        <v>0</v>
      </c>
      <c r="J11" s="9">
        <f>'2965D'!$O$2</f>
        <v>0</v>
      </c>
      <c r="K11" t="b">
        <v>0</v>
      </c>
      <c r="L11" t="b">
        <v>0</v>
      </c>
    </row>
    <row r="12" spans="1:12" x14ac:dyDescent="0.25">
      <c r="A12" s="4">
        <f>'2965D'!B20</f>
        <v>0</v>
      </c>
      <c r="B12" s="4">
        <f>'2965D'!C20</f>
        <v>0</v>
      </c>
      <c r="C12" s="4">
        <f>'2965D'!D20</f>
        <v>0</v>
      </c>
      <c r="D12" s="2">
        <f>'2965D'!E20+Formatted[[#This Row],[Date]]</f>
        <v>0</v>
      </c>
      <c r="E12" s="2">
        <f>'2965D'!F20+Formatted[[#This Row],[Date]]</f>
        <v>0</v>
      </c>
      <c r="F12" s="3">
        <f>ROUND((Formatted[[#This Row],[LandingTime]]-Formatted[[#This Row],[TakeOffTime]]) * 1440, 0)</f>
        <v>0</v>
      </c>
      <c r="G12" s="3" t="str">
        <f>'2965D'!O20</f>
        <v/>
      </c>
      <c r="H12" s="4" t="b">
        <v>0</v>
      </c>
      <c r="I12" s="4">
        <f>'2965D'!$F$2</f>
        <v>0</v>
      </c>
      <c r="J12" s="9">
        <f>'2965D'!$O$2</f>
        <v>0</v>
      </c>
      <c r="K12" t="b">
        <v>0</v>
      </c>
      <c r="L12" t="b">
        <v>0</v>
      </c>
    </row>
    <row r="13" spans="1:12" x14ac:dyDescent="0.25">
      <c r="A13" s="4">
        <f>'2965D'!B21</f>
        <v>0</v>
      </c>
      <c r="B13" s="4">
        <f>'2965D'!C21</f>
        <v>0</v>
      </c>
      <c r="C13" s="4">
        <f>'2965D'!D21</f>
        <v>0</v>
      </c>
      <c r="D13" s="2">
        <f>'2965D'!E21+Formatted[[#This Row],[Date]]</f>
        <v>0</v>
      </c>
      <c r="E13" s="2">
        <f>'2965D'!F21+Formatted[[#This Row],[Date]]</f>
        <v>0</v>
      </c>
      <c r="F13" s="3">
        <f>ROUND((Formatted[[#This Row],[LandingTime]]-Formatted[[#This Row],[TakeOffTime]]) * 1440, 0)</f>
        <v>0</v>
      </c>
      <c r="G13" s="3" t="str">
        <f>'2965D'!O21</f>
        <v/>
      </c>
      <c r="H13" s="4" t="b">
        <v>0</v>
      </c>
      <c r="I13" s="4">
        <f>'2965D'!$F$2</f>
        <v>0</v>
      </c>
      <c r="J13" s="9">
        <f>'2965D'!$O$2</f>
        <v>0</v>
      </c>
      <c r="K13" t="b">
        <v>0</v>
      </c>
      <c r="L13" t="b">
        <v>0</v>
      </c>
    </row>
    <row r="14" spans="1:12" x14ac:dyDescent="0.25">
      <c r="A14" s="4">
        <f>'2965D'!B22</f>
        <v>0</v>
      </c>
      <c r="B14" s="4">
        <f>'2965D'!C22</f>
        <v>0</v>
      </c>
      <c r="C14" s="4">
        <f>'2965D'!D22</f>
        <v>0</v>
      </c>
      <c r="D14" s="2">
        <f>'2965D'!E22+Formatted[[#This Row],[Date]]</f>
        <v>0</v>
      </c>
      <c r="E14" s="2">
        <f>'2965D'!F22+Formatted[[#This Row],[Date]]</f>
        <v>0</v>
      </c>
      <c r="F14" s="3">
        <f>ROUND((Formatted[[#This Row],[LandingTime]]-Formatted[[#This Row],[TakeOffTime]]) * 1440, 0)</f>
        <v>0</v>
      </c>
      <c r="G14" s="3" t="str">
        <f>'2965D'!O22</f>
        <v/>
      </c>
      <c r="H14" s="4" t="b">
        <v>0</v>
      </c>
      <c r="I14" s="4">
        <f>'2965D'!$F$2</f>
        <v>0</v>
      </c>
      <c r="J14" s="9">
        <f>'2965D'!$O$2</f>
        <v>0</v>
      </c>
      <c r="K14" t="b">
        <v>0</v>
      </c>
      <c r="L14" t="b">
        <v>0</v>
      </c>
    </row>
    <row r="15" spans="1:12" x14ac:dyDescent="0.25">
      <c r="A15" s="4">
        <f>'2965D'!B23</f>
        <v>0</v>
      </c>
      <c r="B15" s="4">
        <f>'2965D'!C23</f>
        <v>0</v>
      </c>
      <c r="C15" s="4">
        <f>'2965D'!D23</f>
        <v>0</v>
      </c>
      <c r="D15" s="2">
        <f>'2965D'!E23+Formatted[[#This Row],[Date]]</f>
        <v>0</v>
      </c>
      <c r="E15" s="2">
        <f>'2965D'!F23+Formatted[[#This Row],[Date]]</f>
        <v>0</v>
      </c>
      <c r="F15" s="3">
        <f>ROUND((Formatted[[#This Row],[LandingTime]]-Formatted[[#This Row],[TakeOffTime]]) * 1440, 0)</f>
        <v>0</v>
      </c>
      <c r="G15" s="3" t="str">
        <f>'2965D'!O23</f>
        <v/>
      </c>
      <c r="H15" s="4" t="b">
        <v>0</v>
      </c>
      <c r="I15" s="4">
        <f>'2965D'!$F$2</f>
        <v>0</v>
      </c>
      <c r="J15" s="9">
        <f>'2965D'!$O$2</f>
        <v>0</v>
      </c>
      <c r="K15" t="b">
        <v>0</v>
      </c>
      <c r="L15" t="b">
        <v>0</v>
      </c>
    </row>
    <row r="16" spans="1:12" x14ac:dyDescent="0.25">
      <c r="A16" s="4">
        <f>'2965D'!B24</f>
        <v>0</v>
      </c>
      <c r="B16" s="4">
        <f>'2965D'!C24</f>
        <v>0</v>
      </c>
      <c r="C16" s="4">
        <f>'2965D'!D24</f>
        <v>0</v>
      </c>
      <c r="D16" s="2">
        <f>'2965D'!E24+Formatted[[#This Row],[Date]]</f>
        <v>0</v>
      </c>
      <c r="E16" s="2">
        <f>'2965D'!F24+Formatted[[#This Row],[Date]]</f>
        <v>0</v>
      </c>
      <c r="F16" s="3">
        <f>ROUND((Formatted[[#This Row],[LandingTime]]-Formatted[[#This Row],[TakeOffTime]]) * 1440, 0)</f>
        <v>0</v>
      </c>
      <c r="G16" s="3" t="str">
        <f>'2965D'!O24</f>
        <v/>
      </c>
      <c r="H16" s="4" t="b">
        <v>0</v>
      </c>
      <c r="I16" s="4">
        <f>'2965D'!$F$2</f>
        <v>0</v>
      </c>
      <c r="J16" s="9">
        <f>'2965D'!$O$2</f>
        <v>0</v>
      </c>
      <c r="K16" t="b">
        <v>0</v>
      </c>
      <c r="L16" t="b">
        <v>0</v>
      </c>
    </row>
    <row r="17" spans="1:12" x14ac:dyDescent="0.25">
      <c r="A17" s="4">
        <f>'2965D'!B25</f>
        <v>0</v>
      </c>
      <c r="B17" s="4">
        <f>'2965D'!C25</f>
        <v>0</v>
      </c>
      <c r="C17" s="4">
        <f>'2965D'!D25</f>
        <v>0</v>
      </c>
      <c r="D17" s="2">
        <f>'2965D'!E25+Formatted[[#This Row],[Date]]</f>
        <v>0</v>
      </c>
      <c r="E17" s="2">
        <f>'2965D'!F25+Formatted[[#This Row],[Date]]</f>
        <v>0</v>
      </c>
      <c r="F17" s="3">
        <f>ROUND((Formatted[[#This Row],[LandingTime]]-Formatted[[#This Row],[TakeOffTime]]) * 1440, 0)</f>
        <v>0</v>
      </c>
      <c r="G17" s="3" t="str">
        <f>'2965D'!O25</f>
        <v/>
      </c>
      <c r="H17" s="4" t="b">
        <v>0</v>
      </c>
      <c r="I17" s="4">
        <f>'2965D'!$F$2</f>
        <v>0</v>
      </c>
      <c r="J17" s="9">
        <f>'2965D'!$O$2</f>
        <v>0</v>
      </c>
      <c r="K17" t="b">
        <v>0</v>
      </c>
      <c r="L17" t="b">
        <v>0</v>
      </c>
    </row>
    <row r="18" spans="1:12" x14ac:dyDescent="0.25">
      <c r="A18" s="4">
        <f>'2965D'!B26</f>
        <v>0</v>
      </c>
      <c r="B18" s="4">
        <f>'2965D'!C26</f>
        <v>0</v>
      </c>
      <c r="C18" s="4">
        <f>'2965D'!D26</f>
        <v>0</v>
      </c>
      <c r="D18" s="2">
        <f>'2965D'!E26+Formatted[[#This Row],[Date]]</f>
        <v>0</v>
      </c>
      <c r="E18" s="2">
        <f>'2965D'!F26+Formatted[[#This Row],[Date]]</f>
        <v>0</v>
      </c>
      <c r="F18" s="3">
        <f>ROUND((Formatted[[#This Row],[LandingTime]]-Formatted[[#This Row],[TakeOffTime]]) * 1440, 0)</f>
        <v>0</v>
      </c>
      <c r="G18" s="3" t="str">
        <f>'2965D'!O26</f>
        <v/>
      </c>
      <c r="H18" s="4" t="b">
        <v>0</v>
      </c>
      <c r="I18" s="4">
        <f>'2965D'!$F$2</f>
        <v>0</v>
      </c>
      <c r="J18" s="9">
        <f>'2965D'!$O$2</f>
        <v>0</v>
      </c>
      <c r="K18" t="b">
        <v>0</v>
      </c>
      <c r="L18" t="b">
        <v>0</v>
      </c>
    </row>
    <row r="19" spans="1:12" x14ac:dyDescent="0.25">
      <c r="A19" s="4">
        <f>'2965D'!B27</f>
        <v>0</v>
      </c>
      <c r="B19" s="4">
        <f>'2965D'!C27</f>
        <v>0</v>
      </c>
      <c r="C19" s="4">
        <f>'2965D'!D27</f>
        <v>0</v>
      </c>
      <c r="D19" s="2">
        <f>'2965D'!E27+Formatted[[#This Row],[Date]]</f>
        <v>0</v>
      </c>
      <c r="E19" s="2">
        <f>'2965D'!F27+Formatted[[#This Row],[Date]]</f>
        <v>0</v>
      </c>
      <c r="F19" s="3">
        <f>ROUND((Formatted[[#This Row],[LandingTime]]-Formatted[[#This Row],[TakeOffTime]]) * 1440, 0)</f>
        <v>0</v>
      </c>
      <c r="G19" s="3" t="str">
        <f>'2965D'!O27</f>
        <v/>
      </c>
      <c r="H19" s="4" t="b">
        <v>0</v>
      </c>
      <c r="I19" s="4">
        <f>'2965D'!$F$2</f>
        <v>0</v>
      </c>
      <c r="J19" s="9">
        <f>'2965D'!$O$2</f>
        <v>0</v>
      </c>
      <c r="K19" t="b">
        <v>0</v>
      </c>
      <c r="L19" t="b">
        <v>0</v>
      </c>
    </row>
    <row r="20" spans="1:12" x14ac:dyDescent="0.25">
      <c r="A20" s="4">
        <f>'2965D'!B28</f>
        <v>0</v>
      </c>
      <c r="B20" s="4">
        <f>'2965D'!C28</f>
        <v>0</v>
      </c>
      <c r="C20" s="4">
        <f>'2965D'!D28</f>
        <v>0</v>
      </c>
      <c r="D20" s="2">
        <f>'2965D'!E28+Formatted[[#This Row],[Date]]</f>
        <v>0</v>
      </c>
      <c r="E20" s="2">
        <f>'2965D'!F28+Formatted[[#This Row],[Date]]</f>
        <v>0</v>
      </c>
      <c r="F20" s="3">
        <f>ROUND((Formatted[[#This Row],[LandingTime]]-Formatted[[#This Row],[TakeOffTime]]) * 1440, 0)</f>
        <v>0</v>
      </c>
      <c r="G20" s="3" t="str">
        <f>'2965D'!O28</f>
        <v/>
      </c>
      <c r="H20" s="4" t="b">
        <v>0</v>
      </c>
      <c r="I20" s="4">
        <f>'2965D'!$F$2</f>
        <v>0</v>
      </c>
      <c r="J20" s="9">
        <f>'2965D'!$O$2</f>
        <v>0</v>
      </c>
      <c r="K20" t="b">
        <v>0</v>
      </c>
      <c r="L20" t="b">
        <v>0</v>
      </c>
    </row>
    <row r="21" spans="1:12" x14ac:dyDescent="0.25">
      <c r="A21" s="4">
        <f>'2965D'!B29</f>
        <v>0</v>
      </c>
      <c r="B21" s="4">
        <f>'2965D'!C29</f>
        <v>0</v>
      </c>
      <c r="C21" s="4">
        <f>'2965D'!D29</f>
        <v>0</v>
      </c>
      <c r="D21" s="2">
        <f>'2965D'!E29+Formatted[[#This Row],[Date]]</f>
        <v>0</v>
      </c>
      <c r="E21" s="2">
        <f>'2965D'!F29+Formatted[[#This Row],[Date]]</f>
        <v>0</v>
      </c>
      <c r="F21" s="3">
        <f>ROUND((Formatted[[#This Row],[LandingTime]]-Formatted[[#This Row],[TakeOffTime]]) * 1440, 0)</f>
        <v>0</v>
      </c>
      <c r="G21" s="3" t="str">
        <f>'2965D'!O29</f>
        <v/>
      </c>
      <c r="H21" s="4" t="b">
        <v>0</v>
      </c>
      <c r="I21" s="4">
        <f>'2965D'!$F$2</f>
        <v>0</v>
      </c>
      <c r="J21" s="9">
        <f>'2965D'!$O$2</f>
        <v>0</v>
      </c>
      <c r="K21" t="b">
        <v>0</v>
      </c>
      <c r="L21" t="b">
        <v>0</v>
      </c>
    </row>
    <row r="22" spans="1:12" x14ac:dyDescent="0.25">
      <c r="A22" s="4">
        <f>'2965D'!B30</f>
        <v>0</v>
      </c>
      <c r="B22" s="4">
        <f>'2965D'!C30</f>
        <v>0</v>
      </c>
      <c r="C22" s="4">
        <f>'2965D'!D30</f>
        <v>0</v>
      </c>
      <c r="D22" s="2">
        <f>'2965D'!E30+Formatted[[#This Row],[Date]]</f>
        <v>0</v>
      </c>
      <c r="E22" s="2">
        <f>'2965D'!F30+Formatted[[#This Row],[Date]]</f>
        <v>0</v>
      </c>
      <c r="F22" s="3">
        <f>ROUND((Formatted[[#This Row],[LandingTime]]-Formatted[[#This Row],[TakeOffTime]]) * 1440, 0)</f>
        <v>0</v>
      </c>
      <c r="G22" s="3" t="str">
        <f>'2965D'!O30</f>
        <v/>
      </c>
      <c r="H22" s="4" t="b">
        <v>0</v>
      </c>
      <c r="I22" s="4">
        <f>'2965D'!$F$2</f>
        <v>0</v>
      </c>
      <c r="J22" s="9">
        <f>'2965D'!$O$2</f>
        <v>0</v>
      </c>
      <c r="K22" t="b">
        <v>0</v>
      </c>
      <c r="L22" t="b">
        <v>0</v>
      </c>
    </row>
    <row r="23" spans="1:12" x14ac:dyDescent="0.25">
      <c r="A23" s="4">
        <f>'2965D'!B31</f>
        <v>0</v>
      </c>
      <c r="B23" s="4">
        <f>'2965D'!C31</f>
        <v>0</v>
      </c>
      <c r="C23" s="4">
        <f>'2965D'!D31</f>
        <v>0</v>
      </c>
      <c r="D23" s="2">
        <f>'2965D'!E31+Formatted[[#This Row],[Date]]</f>
        <v>0</v>
      </c>
      <c r="E23" s="2">
        <f>'2965D'!F31+Formatted[[#This Row],[Date]]</f>
        <v>0</v>
      </c>
      <c r="F23" s="3">
        <f>ROUND((Formatted[[#This Row],[LandingTime]]-Formatted[[#This Row],[TakeOffTime]]) * 1440, 0)</f>
        <v>0</v>
      </c>
      <c r="G23" s="3" t="str">
        <f>'2965D'!O31</f>
        <v/>
      </c>
      <c r="H23" s="4" t="b">
        <v>0</v>
      </c>
      <c r="I23" s="4">
        <f>'2965D'!$F$2</f>
        <v>0</v>
      </c>
      <c r="J23" s="9">
        <f>'2965D'!$O$2</f>
        <v>0</v>
      </c>
      <c r="K23" t="b">
        <v>0</v>
      </c>
      <c r="L23" t="b">
        <v>0</v>
      </c>
    </row>
    <row r="24" spans="1:12" x14ac:dyDescent="0.25">
      <c r="A24" s="4">
        <f>'2965D'!B32</f>
        <v>0</v>
      </c>
      <c r="B24" s="4">
        <f>'2965D'!C32</f>
        <v>0</v>
      </c>
      <c r="C24" s="4">
        <f>'2965D'!D32</f>
        <v>0</v>
      </c>
      <c r="D24" s="2">
        <f>'2965D'!E32+Formatted[[#This Row],[Date]]</f>
        <v>0</v>
      </c>
      <c r="E24" s="2">
        <f>'2965D'!F32+Formatted[[#This Row],[Date]]</f>
        <v>0</v>
      </c>
      <c r="F24" s="3">
        <f>ROUND((Formatted[[#This Row],[LandingTime]]-Formatted[[#This Row],[TakeOffTime]]) * 1440, 0)</f>
        <v>0</v>
      </c>
      <c r="G24" s="3" t="str">
        <f>'2965D'!O32</f>
        <v/>
      </c>
      <c r="H24" s="4" t="b">
        <v>0</v>
      </c>
      <c r="I24" s="4">
        <f>'2965D'!$F$2</f>
        <v>0</v>
      </c>
      <c r="J24" s="9">
        <f>'2965D'!$O$2</f>
        <v>0</v>
      </c>
      <c r="K24" t="b">
        <v>0</v>
      </c>
      <c r="L24" t="b">
        <v>0</v>
      </c>
    </row>
    <row r="25" spans="1:12" x14ac:dyDescent="0.25">
      <c r="A25" s="4">
        <f>'2965D'!B33</f>
        <v>0</v>
      </c>
      <c r="B25" s="4">
        <f>'2965D'!C33</f>
        <v>0</v>
      </c>
      <c r="C25" s="4">
        <f>'2965D'!D33</f>
        <v>0</v>
      </c>
      <c r="D25" s="2">
        <f>'2965D'!E33+Formatted[[#This Row],[Date]]</f>
        <v>0</v>
      </c>
      <c r="E25" s="2">
        <f>'2965D'!F33+Formatted[[#This Row],[Date]]</f>
        <v>0</v>
      </c>
      <c r="F25" s="3">
        <f>ROUND((Formatted[[#This Row],[LandingTime]]-Formatted[[#This Row],[TakeOffTime]]) * 1440, 0)</f>
        <v>0</v>
      </c>
      <c r="G25" s="3" t="str">
        <f>'2965D'!O33</f>
        <v/>
      </c>
      <c r="H25" s="4" t="b">
        <v>0</v>
      </c>
      <c r="I25" s="4">
        <f>'2965D'!$F$2</f>
        <v>0</v>
      </c>
      <c r="J25" s="9">
        <f>'2965D'!$O$2</f>
        <v>0</v>
      </c>
      <c r="K25" t="b">
        <v>0</v>
      </c>
      <c r="L25" t="b">
        <v>0</v>
      </c>
    </row>
    <row r="26" spans="1:12" x14ac:dyDescent="0.25">
      <c r="A26" s="4">
        <f>'2965D'!B34</f>
        <v>0</v>
      </c>
      <c r="B26" s="4">
        <f>'2965D'!C34</f>
        <v>0</v>
      </c>
      <c r="C26" s="4">
        <f>'2965D'!D34</f>
        <v>0</v>
      </c>
      <c r="D26" s="2">
        <f>'2965D'!E34+Formatted[[#This Row],[Date]]</f>
        <v>0</v>
      </c>
      <c r="E26" s="2">
        <f>'2965D'!F34+Formatted[[#This Row],[Date]]</f>
        <v>0</v>
      </c>
      <c r="F26" s="3">
        <f>ROUND((Formatted[[#This Row],[LandingTime]]-Formatted[[#This Row],[TakeOffTime]]) * 1440, 0)</f>
        <v>0</v>
      </c>
      <c r="G26" s="3" t="str">
        <f>'2965D'!O34</f>
        <v/>
      </c>
      <c r="H26" s="4" t="b">
        <v>0</v>
      </c>
      <c r="I26" s="4">
        <f>'2965D'!$F$2</f>
        <v>0</v>
      </c>
      <c r="J26" s="9">
        <f>'2965D'!$O$2</f>
        <v>0</v>
      </c>
      <c r="K26" t="b">
        <v>0</v>
      </c>
      <c r="L26" t="b">
        <v>0</v>
      </c>
    </row>
    <row r="27" spans="1:12" x14ac:dyDescent="0.25">
      <c r="A27" s="4">
        <f>'2965D'!B35</f>
        <v>0</v>
      </c>
      <c r="B27" s="4">
        <f>'2965D'!C35</f>
        <v>0</v>
      </c>
      <c r="C27" s="4">
        <f>'2965D'!D35</f>
        <v>0</v>
      </c>
      <c r="D27" s="2">
        <f>'2965D'!E35+Formatted[[#This Row],[Date]]</f>
        <v>0</v>
      </c>
      <c r="E27" s="2">
        <f>'2965D'!F35+Formatted[[#This Row],[Date]]</f>
        <v>0</v>
      </c>
      <c r="F27" s="3">
        <f>ROUND((Formatted[[#This Row],[LandingTime]]-Formatted[[#This Row],[TakeOffTime]]) * 1440, 0)</f>
        <v>0</v>
      </c>
      <c r="G27" s="3" t="str">
        <f>'2965D'!O35</f>
        <v/>
      </c>
      <c r="H27" s="4" t="b">
        <v>0</v>
      </c>
      <c r="I27" s="4">
        <f>'2965D'!$F$2</f>
        <v>0</v>
      </c>
      <c r="J27" s="9">
        <f>'2965D'!$O$2</f>
        <v>0</v>
      </c>
      <c r="K27" t="b">
        <v>0</v>
      </c>
      <c r="L27" t="b">
        <v>0</v>
      </c>
    </row>
    <row r="28" spans="1:12" x14ac:dyDescent="0.25">
      <c r="A28" s="4">
        <f>'2965D'!B36</f>
        <v>0</v>
      </c>
      <c r="B28" s="4">
        <f>'2965D'!C36</f>
        <v>0</v>
      </c>
      <c r="C28" s="4">
        <f>'2965D'!D36</f>
        <v>0</v>
      </c>
      <c r="D28" s="2">
        <f>'2965D'!E36+Formatted[[#This Row],[Date]]</f>
        <v>0</v>
      </c>
      <c r="E28" s="2">
        <f>'2965D'!F36+Formatted[[#This Row],[Date]]</f>
        <v>0</v>
      </c>
      <c r="F28" s="3">
        <f>ROUND((Formatted[[#This Row],[LandingTime]]-Formatted[[#This Row],[TakeOffTime]]) * 1440, 0)</f>
        <v>0</v>
      </c>
      <c r="G28" s="3" t="str">
        <f>'2965D'!O36</f>
        <v/>
      </c>
      <c r="H28" s="4" t="b">
        <v>0</v>
      </c>
      <c r="I28" s="4">
        <f>'2965D'!$F$2</f>
        <v>0</v>
      </c>
      <c r="J28" s="9">
        <f>'2965D'!$O$2</f>
        <v>0</v>
      </c>
      <c r="K28" t="b">
        <v>0</v>
      </c>
      <c r="L28" t="b">
        <v>0</v>
      </c>
    </row>
    <row r="29" spans="1:12" x14ac:dyDescent="0.25">
      <c r="A29" s="4">
        <f>'2965D'!B37</f>
        <v>0</v>
      </c>
      <c r="B29" s="4">
        <f>'2965D'!C37</f>
        <v>0</v>
      </c>
      <c r="C29" s="4">
        <f>'2965D'!D37</f>
        <v>0</v>
      </c>
      <c r="D29" s="2">
        <f>'2965D'!E37+Formatted[[#This Row],[Date]]</f>
        <v>0</v>
      </c>
      <c r="E29" s="2">
        <f>'2965D'!F37+Formatted[[#This Row],[Date]]</f>
        <v>0</v>
      </c>
      <c r="F29" s="3">
        <f>ROUND((Formatted[[#This Row],[LandingTime]]-Formatted[[#This Row],[TakeOffTime]]) * 1440, 0)</f>
        <v>0</v>
      </c>
      <c r="G29" s="3" t="str">
        <f>'2965D'!O37</f>
        <v/>
      </c>
      <c r="H29" s="4" t="b">
        <v>0</v>
      </c>
      <c r="I29" s="4">
        <f>'2965D'!$F$2</f>
        <v>0</v>
      </c>
      <c r="J29" s="9">
        <f>'2965D'!$O$2</f>
        <v>0</v>
      </c>
      <c r="K29" t="b">
        <v>0</v>
      </c>
      <c r="L29" t="b">
        <v>0</v>
      </c>
    </row>
    <row r="30" spans="1:12" x14ac:dyDescent="0.25">
      <c r="A30" s="4">
        <f>'2965D'!B38</f>
        <v>0</v>
      </c>
      <c r="B30" s="4">
        <f>'2965D'!C38</f>
        <v>0</v>
      </c>
      <c r="C30" s="4">
        <f>'2965D'!D38</f>
        <v>0</v>
      </c>
      <c r="D30" s="2">
        <f>'2965D'!E38+Formatted[[#This Row],[Date]]</f>
        <v>0</v>
      </c>
      <c r="E30" s="2">
        <f>'2965D'!F38+Formatted[[#This Row],[Date]]</f>
        <v>0</v>
      </c>
      <c r="F30" s="3">
        <f>ROUND((Formatted[[#This Row],[LandingTime]]-Formatted[[#This Row],[TakeOffTime]]) * 1440, 0)</f>
        <v>0</v>
      </c>
      <c r="G30" s="3" t="str">
        <f>'2965D'!O38</f>
        <v/>
      </c>
      <c r="H30" s="4" t="b">
        <v>0</v>
      </c>
      <c r="I30" s="4">
        <f>'2965D'!$F$2</f>
        <v>0</v>
      </c>
      <c r="J30" s="9">
        <f>'2965D'!$O$2</f>
        <v>0</v>
      </c>
      <c r="K30" t="b">
        <v>0</v>
      </c>
      <c r="L30" t="b">
        <v>0</v>
      </c>
    </row>
    <row r="31" spans="1:12" x14ac:dyDescent="0.25">
      <c r="A31" s="4">
        <f>'2965D'!B39</f>
        <v>0</v>
      </c>
      <c r="B31" s="4">
        <f>'2965D'!C39</f>
        <v>0</v>
      </c>
      <c r="C31" s="4">
        <f>'2965D'!D39</f>
        <v>0</v>
      </c>
      <c r="D31" s="2">
        <f>'2965D'!E39+Formatted[[#This Row],[Date]]</f>
        <v>0</v>
      </c>
      <c r="E31" s="2">
        <f>'2965D'!F39+Formatted[[#This Row],[Date]]</f>
        <v>0</v>
      </c>
      <c r="F31" s="3">
        <f>ROUND((Formatted[[#This Row],[LandingTime]]-Formatted[[#This Row],[TakeOffTime]]) * 1440, 0)</f>
        <v>0</v>
      </c>
      <c r="G31" s="3" t="str">
        <f>'2965D'!O39</f>
        <v/>
      </c>
      <c r="H31" s="4" t="b">
        <v>0</v>
      </c>
      <c r="I31" s="4">
        <f>'2965D'!$F$2</f>
        <v>0</v>
      </c>
      <c r="J31" s="9">
        <f>'2965D'!$O$2</f>
        <v>0</v>
      </c>
      <c r="K31" t="b">
        <v>0</v>
      </c>
      <c r="L31" t="b">
        <v>0</v>
      </c>
    </row>
    <row r="32" spans="1:12" x14ac:dyDescent="0.25">
      <c r="A32" s="4">
        <f>'2965D'!B40</f>
        <v>0</v>
      </c>
      <c r="B32" s="4">
        <f>'2965D'!C40</f>
        <v>0</v>
      </c>
      <c r="C32" s="4">
        <f>'2965D'!D40</f>
        <v>0</v>
      </c>
      <c r="D32" s="2">
        <f>'2965D'!E40+Formatted[[#This Row],[Date]]</f>
        <v>0</v>
      </c>
      <c r="E32" s="2">
        <f>'2965D'!F40+Formatted[[#This Row],[Date]]</f>
        <v>0</v>
      </c>
      <c r="F32" s="3">
        <f>ROUND((Formatted[[#This Row],[LandingTime]]-Formatted[[#This Row],[TakeOffTime]]) * 1440, 0)</f>
        <v>0</v>
      </c>
      <c r="G32" s="3" t="str">
        <f>'2965D'!O40</f>
        <v/>
      </c>
      <c r="H32" s="4" t="b">
        <v>0</v>
      </c>
      <c r="I32" s="4">
        <f>'2965D'!$F$2</f>
        <v>0</v>
      </c>
      <c r="J32" s="9">
        <f>'2965D'!$O$2</f>
        <v>0</v>
      </c>
      <c r="K32" t="b">
        <v>0</v>
      </c>
      <c r="L32" t="b">
        <v>0</v>
      </c>
    </row>
    <row r="33" spans="1:12" x14ac:dyDescent="0.25">
      <c r="A33" s="4">
        <f>'2965D'!B41</f>
        <v>0</v>
      </c>
      <c r="B33" s="4">
        <f>'2965D'!C41</f>
        <v>0</v>
      </c>
      <c r="C33" s="4">
        <f>'2965D'!D41</f>
        <v>0</v>
      </c>
      <c r="D33" s="2">
        <f>'2965D'!E41+Formatted[[#This Row],[Date]]</f>
        <v>0</v>
      </c>
      <c r="E33" s="2">
        <f>'2965D'!F41+Formatted[[#This Row],[Date]]</f>
        <v>0</v>
      </c>
      <c r="F33" s="3">
        <f>ROUND((Formatted[[#This Row],[LandingTime]]-Formatted[[#This Row],[TakeOffTime]]) * 1440, 0)</f>
        <v>0</v>
      </c>
      <c r="G33" s="3" t="str">
        <f>'2965D'!O41</f>
        <v/>
      </c>
      <c r="H33" s="4" t="b">
        <v>0</v>
      </c>
      <c r="I33" s="4">
        <f>'2965D'!$F$2</f>
        <v>0</v>
      </c>
      <c r="J33" s="9">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DA0E2FEB-EAB1-4D92-AE14-DEBD2D85739B}">
  <ds:schemaRefs>
    <ds:schemaRef ds:uri="http://schemas.microsoft.com/office/2006/documentManagement/types"/>
    <ds:schemaRef ds:uri="875ba578-886d-4752-9169-e010f98bcdf2"/>
    <ds:schemaRef ds:uri="http://purl.org/dc/terms/"/>
    <ds:schemaRef ds:uri="http://schemas.openxmlformats.org/package/2006/metadata/core-properties"/>
    <ds:schemaRef ds:uri="http://purl.org/dc/dcmitype/"/>
    <ds:schemaRef ds:uri="http://schemas.microsoft.com/office/infopath/2007/PartnerControls"/>
    <ds:schemaRef ds:uri="49078254-ee6b-43b6-84cb-00b3a9850307"/>
    <ds:schemaRef ds:uri="http://purl.org/dc/elements/1.1/"/>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3.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B23DDE-AF73-46CC-BFE4-1A744AA058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Michael APO (RAFAC-2FTS-VGS-661)</dc:creator>
  <cp:keywords/>
  <dc:description/>
  <cp:lastModifiedBy>Jennings, Michael APO (RAFAC-2FTS-VGS-661)</cp:lastModifiedBy>
  <cp:revision/>
  <cp:lastPrinted>2024-08-09T08:23:11Z</cp:lastPrinted>
  <dcterms:created xsi:type="dcterms:W3CDTF">2022-06-26T15:01:24Z</dcterms:created>
  <dcterms:modified xsi:type="dcterms:W3CDTF">2024-08-09T14:39:52Z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